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c607056c5dbb116b/Documents/Important Documents/Sports Stats/"/>
    </mc:Choice>
  </mc:AlternateContent>
  <xr:revisionPtr revIDLastSave="1860" documentId="11_208371962816B2C1567834B43550E34D411C2700" xr6:coauthVersionLast="47" xr6:coauthVersionMax="47" xr10:uidLastSave="{2D0E8CBB-4094-4EB2-8742-3DB99D4DA931}"/>
  <bookViews>
    <workbookView xWindow="-110" yWindow="-110" windowWidth="19420" windowHeight="10300" firstSheet="36" activeTab="37" xr2:uid="{00000000-000D-0000-FFFF-FFFF00000000}"/>
  </bookViews>
  <sheets>
    <sheet name="Simulation" sheetId="5" state="hidden" r:id="rId1"/>
    <sheet name="HW5" sheetId="11" state="hidden" r:id="rId2"/>
    <sheet name="HW" sheetId="13" r:id="rId3"/>
    <sheet name="Simple_Bracket" sheetId="8" r:id="rId4"/>
    <sheet name="Pool Play" sheetId="14" r:id="rId5"/>
    <sheet name="Sim_Basic" sheetId="12" state="hidden" r:id="rId6"/>
    <sheet name="Bracket_Pool" sheetId="15" r:id="rId7"/>
    <sheet name="Regression1" sheetId="17" r:id="rId8"/>
    <sheet name="Sheet4" sheetId="20" r:id="rId9"/>
    <sheet name="Sheet9" sheetId="25" r:id="rId10"/>
    <sheet name="Sheet5" sheetId="21" r:id="rId11"/>
    <sheet name="blkandtov" sheetId="29" r:id="rId12"/>
    <sheet name="superstat2" sheetId="30" r:id="rId13"/>
    <sheet name="Sheet15" sheetId="31" r:id="rId14"/>
    <sheet name="Sheet16" sheetId="32" r:id="rId15"/>
    <sheet name="Sheet17" sheetId="33" r:id="rId16"/>
    <sheet name="Sheet21" sheetId="37" r:id="rId17"/>
    <sheet name="Sheet23" sheetId="39" r:id="rId18"/>
    <sheet name="Sheet22" sheetId="38" r:id="rId19"/>
    <sheet name="Sheet24" sheetId="40" r:id="rId20"/>
    <sheet name="Sheet27" sheetId="43" r:id="rId21"/>
    <sheet name="Sheet28" sheetId="44" r:id="rId22"/>
    <sheet name="Sheet30" sheetId="46" r:id="rId23"/>
    <sheet name="Sheet31" sheetId="47" r:id="rId24"/>
    <sheet name="Sheet32" sheetId="48" r:id="rId25"/>
    <sheet name="Sheet35" sheetId="51" r:id="rId26"/>
    <sheet name="Sheet33" sheetId="49" r:id="rId27"/>
    <sheet name="Sheet36" sheetId="52" r:id="rId28"/>
    <sheet name="Sheet38" sheetId="54" r:id="rId29"/>
    <sheet name="Sheet37" sheetId="53" r:id="rId30"/>
    <sheet name="Sheet39" sheetId="55" r:id="rId31"/>
    <sheet name="Sheet40" sheetId="56" r:id="rId32"/>
    <sheet name="Sheet41" sheetId="57" r:id="rId33"/>
    <sheet name="Sheet42" sheetId="58" r:id="rId34"/>
    <sheet name="Sheet44" sheetId="60" r:id="rId35"/>
    <sheet name="Sheet45" sheetId="61" r:id="rId36"/>
    <sheet name="Correlation" sheetId="59" r:id="rId37"/>
    <sheet name="NBAQ1" sheetId="16" r:id="rId38"/>
    <sheet name="NBAQ2" sheetId="24" r:id="rId39"/>
    <sheet name="NBAQ3" sheetId="28" r:id="rId40"/>
    <sheet name="FGM" sheetId="23" r:id="rId41"/>
    <sheet name="FG%PM" sheetId="26" r:id="rId42"/>
    <sheet name="CoolRegression" sheetId="64" r:id="rId43"/>
    <sheet name="NCAA Data" sheetId="6" state="hidden" r:id="rId44"/>
    <sheet name="NCAA Sim" sheetId="7" state="hidden" r:id="rId45"/>
  </sheets>
  <definedNames>
    <definedName name="games">#REF!</definedName>
    <definedName name="MLBGrid">#REF!</definedName>
    <definedName name="MLBSeedGrid">#REF!</definedName>
    <definedName name="NBAGrid">#REF!</definedName>
    <definedName name="Perc">#REF!</definedName>
    <definedName name="percentages" localSheetId="2">#REF!</definedName>
    <definedName name="percentages" localSheetId="1">#REF!</definedName>
    <definedName name="Percentages">#REF!</definedName>
    <definedName name="SeedHist" localSheetId="2">#REF!</definedName>
    <definedName name="SeedHist" localSheetId="1">#REF!</definedName>
    <definedName name="SeedHist">'NCAA Data'!$L$24:$M$39</definedName>
    <definedName name="seedperc" localSheetId="6">#REF!</definedName>
    <definedName name="seedperc" localSheetId="2">#REF!</definedName>
    <definedName name="seedperc" localSheetId="1">#REF!</definedName>
    <definedName name="seedperc">'NCAA Data'!$C$1:$T$17</definedName>
    <definedName name="teams">#REF!</definedName>
    <definedName name="unit">#REF!</definedName>
    <definedName name="winning">Bracket_Pool!$N$27:$O$34</definedName>
    <definedName name="wseedperc">#REF!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3" i="26" l="1"/>
  <c r="F23" i="26" s="1"/>
  <c r="AG10" i="28"/>
  <c r="AG18" i="28"/>
  <c r="AG26" i="28"/>
  <c r="AG2" i="28"/>
  <c r="AT4" i="28"/>
  <c r="AT7" i="28" s="1"/>
  <c r="AT9" i="28" s="1"/>
  <c r="AK4" i="28"/>
  <c r="AK7" i="28" s="1"/>
  <c r="AK9" i="28" s="1"/>
  <c r="D24" i="64"/>
  <c r="F24" i="64" s="1"/>
  <c r="M17" i="64"/>
  <c r="AF2" i="28"/>
  <c r="AE3" i="28"/>
  <c r="AG3" i="28" s="1"/>
  <c r="AE4" i="28"/>
  <c r="AG4" i="28" s="1"/>
  <c r="AE5" i="28"/>
  <c r="AG5" i="28" s="1"/>
  <c r="AE6" i="28"/>
  <c r="AG6" i="28" s="1"/>
  <c r="AE7" i="28"/>
  <c r="AG7" i="28" s="1"/>
  <c r="AH7" i="28" s="1"/>
  <c r="AE8" i="28"/>
  <c r="AE9" i="28"/>
  <c r="AE10" i="28"/>
  <c r="AE11" i="28"/>
  <c r="AG11" i="28" s="1"/>
  <c r="AE12" i="28"/>
  <c r="AG12" i="28" s="1"/>
  <c r="AE13" i="28"/>
  <c r="AG13" i="28" s="1"/>
  <c r="AE14" i="28"/>
  <c r="AG14" i="28" s="1"/>
  <c r="AE15" i="28"/>
  <c r="AG15" i="28" s="1"/>
  <c r="AE16" i="28"/>
  <c r="AE17" i="28"/>
  <c r="AE18" i="28"/>
  <c r="AE19" i="28"/>
  <c r="AG19" i="28" s="1"/>
  <c r="AE20" i="28"/>
  <c r="AG20" i="28" s="1"/>
  <c r="AE21" i="28"/>
  <c r="AG21" i="28" s="1"/>
  <c r="AE22" i="28"/>
  <c r="AG22" i="28" s="1"/>
  <c r="AE23" i="28"/>
  <c r="AG23" i="28" s="1"/>
  <c r="AE24" i="28"/>
  <c r="AE25" i="28"/>
  <c r="AE26" i="28"/>
  <c r="AE27" i="28"/>
  <c r="AG27" i="28" s="1"/>
  <c r="AE28" i="28"/>
  <c r="AG28" i="28" s="1"/>
  <c r="AE29" i="28"/>
  <c r="AG29" i="28" s="1"/>
  <c r="AE30" i="28"/>
  <c r="AG30" i="28" s="1"/>
  <c r="AE31" i="28"/>
  <c r="AG31" i="28" s="1"/>
  <c r="AE2" i="28"/>
  <c r="AF3" i="28"/>
  <c r="AF4" i="28"/>
  <c r="AF5" i="28"/>
  <c r="AF6" i="28"/>
  <c r="AF7" i="28"/>
  <c r="AF8" i="28"/>
  <c r="AG8" i="28" s="1"/>
  <c r="AF9" i="28"/>
  <c r="AG9" i="28" s="1"/>
  <c r="AF10" i="28"/>
  <c r="AF11" i="28"/>
  <c r="AF12" i="28"/>
  <c r="AF13" i="28"/>
  <c r="AF14" i="28"/>
  <c r="AF15" i="28"/>
  <c r="AF16" i="28"/>
  <c r="AG16" i="28" s="1"/>
  <c r="AF17" i="28"/>
  <c r="AG17" i="28" s="1"/>
  <c r="AF18" i="28"/>
  <c r="AF19" i="28"/>
  <c r="AF20" i="28"/>
  <c r="AF21" i="28"/>
  <c r="AF22" i="28"/>
  <c r="AF23" i="28"/>
  <c r="AF24" i="28"/>
  <c r="AG24" i="28" s="1"/>
  <c r="AF25" i="28"/>
  <c r="AG25" i="28" s="1"/>
  <c r="AF26" i="28"/>
  <c r="AF27" i="28"/>
  <c r="AF28" i="28"/>
  <c r="AF29" i="28"/>
  <c r="AF30" i="28"/>
  <c r="AF31" i="28"/>
  <c r="AP2" i="28"/>
  <c r="AQ1" i="28" s="1"/>
  <c r="AH15" i="24"/>
  <c r="AH16" i="24"/>
  <c r="AH17" i="24"/>
  <c r="AH18" i="24"/>
  <c r="AH31" i="24"/>
  <c r="AG3" i="24"/>
  <c r="AH3" i="24" s="1"/>
  <c r="AG4" i="24"/>
  <c r="AH4" i="24" s="1"/>
  <c r="AG5" i="24"/>
  <c r="AH5" i="24" s="1"/>
  <c r="AG6" i="24"/>
  <c r="AH6" i="24" s="1"/>
  <c r="AG7" i="24"/>
  <c r="AH7" i="24" s="1"/>
  <c r="AG8" i="24"/>
  <c r="AH8" i="24" s="1"/>
  <c r="AG9" i="24"/>
  <c r="AH9" i="24" s="1"/>
  <c r="AG10" i="24"/>
  <c r="AH10" i="24" s="1"/>
  <c r="AG11" i="24"/>
  <c r="AH11" i="24" s="1"/>
  <c r="AG12" i="24"/>
  <c r="AH12" i="24" s="1"/>
  <c r="AG13" i="24"/>
  <c r="AH13" i="24" s="1"/>
  <c r="AG14" i="24"/>
  <c r="AH14" i="24" s="1"/>
  <c r="AG15" i="24"/>
  <c r="AG16" i="24"/>
  <c r="AG17" i="24"/>
  <c r="AG18" i="24"/>
  <c r="AG19" i="24"/>
  <c r="AH19" i="24" s="1"/>
  <c r="AG20" i="24"/>
  <c r="AH20" i="24" s="1"/>
  <c r="AG21" i="24"/>
  <c r="AH21" i="24" s="1"/>
  <c r="AG22" i="24"/>
  <c r="AH22" i="24" s="1"/>
  <c r="AG23" i="24"/>
  <c r="AH23" i="24" s="1"/>
  <c r="AG24" i="24"/>
  <c r="AH24" i="24" s="1"/>
  <c r="AG25" i="24"/>
  <c r="AH25" i="24" s="1"/>
  <c r="AG26" i="24"/>
  <c r="AH26" i="24" s="1"/>
  <c r="AG27" i="24"/>
  <c r="AH27" i="24" s="1"/>
  <c r="AG28" i="24"/>
  <c r="AH28" i="24" s="1"/>
  <c r="AG29" i="24"/>
  <c r="AH29" i="24" s="1"/>
  <c r="AG30" i="24"/>
  <c r="AH30" i="24" s="1"/>
  <c r="AG31" i="24"/>
  <c r="AG2" i="24"/>
  <c r="AH2" i="24" s="1"/>
  <c r="AT4" i="24"/>
  <c r="AT7" i="24" s="1"/>
  <c r="AK4" i="24"/>
  <c r="AK7" i="24"/>
  <c r="AK9" i="24" s="1"/>
  <c r="AP2" i="24"/>
  <c r="AQ1" i="24" s="1"/>
  <c r="AR4" i="16"/>
  <c r="AR7" i="16" s="1"/>
  <c r="AR9" i="16" s="1"/>
  <c r="AI4" i="16"/>
  <c r="AI7" i="16" s="1"/>
  <c r="AI9" i="16" s="1"/>
  <c r="AE2" i="16"/>
  <c r="AN2" i="16"/>
  <c r="AO1" i="16"/>
  <c r="AH29" i="28" l="1"/>
  <c r="AH21" i="28"/>
  <c r="AH20" i="28"/>
  <c r="AH12" i="28"/>
  <c r="AH13" i="28"/>
  <c r="AH5" i="28"/>
  <c r="AH4" i="28"/>
  <c r="AH19" i="28"/>
  <c r="AH11" i="28"/>
  <c r="AH28" i="28"/>
  <c r="AH27" i="28"/>
  <c r="AH3" i="28"/>
  <c r="AH16" i="28"/>
  <c r="AH31" i="28"/>
  <c r="AH23" i="28"/>
  <c r="AH8" i="28"/>
  <c r="AH15" i="28"/>
  <c r="AH9" i="28"/>
  <c r="AH6" i="28"/>
  <c r="AH18" i="28"/>
  <c r="AH10" i="28"/>
  <c r="AH25" i="28"/>
  <c r="AH17" i="28"/>
  <c r="AH26" i="28"/>
  <c r="AH30" i="28"/>
  <c r="AH22" i="28"/>
  <c r="AH14" i="28"/>
  <c r="AH24" i="28"/>
  <c r="AH2" i="28"/>
  <c r="AU9" i="28"/>
  <c r="AS12" i="28" s="1"/>
  <c r="AT9" i="24"/>
  <c r="AV9" i="24" s="1"/>
  <c r="AT9" i="16"/>
  <c r="AF3" i="16" l="1"/>
  <c r="AF4" i="16"/>
  <c r="AF5" i="16"/>
  <c r="AF6" i="16"/>
  <c r="AF7" i="16"/>
  <c r="AF8" i="16"/>
  <c r="AF9" i="16"/>
  <c r="AF10" i="16"/>
  <c r="AF11" i="16"/>
  <c r="AF12" i="16"/>
  <c r="AF13" i="16"/>
  <c r="AF14" i="16"/>
  <c r="AF15" i="16"/>
  <c r="AF16" i="16"/>
  <c r="AF17" i="16"/>
  <c r="AF18" i="16"/>
  <c r="AF19" i="16"/>
  <c r="AF20" i="16"/>
  <c r="AF21" i="16"/>
  <c r="AF22" i="16"/>
  <c r="AF23" i="16"/>
  <c r="AF24" i="16"/>
  <c r="AF25" i="16"/>
  <c r="AF26" i="16"/>
  <c r="AF27" i="16"/>
  <c r="AF28" i="16"/>
  <c r="AF29" i="16"/>
  <c r="AF30" i="16"/>
  <c r="AF31" i="16"/>
  <c r="AE3" i="16"/>
  <c r="AE4" i="16"/>
  <c r="AE5" i="16"/>
  <c r="AE6" i="16"/>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F2" i="16"/>
  <c r="C21" i="23"/>
  <c r="D21" i="23" s="1"/>
  <c r="C20" i="21"/>
  <c r="D20" i="21" s="1"/>
  <c r="D22" i="20"/>
  <c r="E22" i="20" s="1"/>
  <c r="E22" i="15" l="1"/>
  <c r="E11" i="15" s="1"/>
  <c r="D22" i="15"/>
  <c r="D11" i="15" s="1"/>
  <c r="C22" i="15"/>
  <c r="D21" i="15"/>
  <c r="C21" i="15"/>
  <c r="C20" i="15"/>
  <c r="E18" i="15"/>
  <c r="E5" i="15" s="1"/>
  <c r="D18" i="15"/>
  <c r="D5" i="15" s="1"/>
  <c r="C18" i="15"/>
  <c r="C5" i="15" s="1"/>
  <c r="D17" i="15"/>
  <c r="D4" i="15" s="1"/>
  <c r="C17" i="15"/>
  <c r="C4" i="15" s="1"/>
  <c r="O16" i="15"/>
  <c r="C16" i="15"/>
  <c r="C3" i="15" s="1"/>
  <c r="C11" i="15"/>
  <c r="D10" i="15"/>
  <c r="C10" i="15"/>
  <c r="C9" i="15"/>
  <c r="K7" i="15"/>
  <c r="B35" i="15" l="1"/>
  <c r="B28" i="15"/>
  <c r="B29" i="15"/>
  <c r="B27" i="15"/>
  <c r="B26" i="15"/>
  <c r="B34" i="15"/>
  <c r="K13" i="15"/>
  <c r="B32" i="15"/>
  <c r="B33" i="15"/>
  <c r="K19" i="15" l="1"/>
  <c r="C29" i="15"/>
  <c r="H22" i="15" s="1"/>
  <c r="I22" i="15" s="1"/>
  <c r="C27" i="15"/>
  <c r="H10" i="15" s="1"/>
  <c r="I10" i="15" s="1"/>
  <c r="C28" i="15"/>
  <c r="H16" i="15" s="1"/>
  <c r="I16" i="15" s="1"/>
  <c r="C26" i="15"/>
  <c r="H4" i="15" s="1"/>
  <c r="I4" i="15" s="1"/>
  <c r="C35" i="15"/>
  <c r="H5" i="15" s="1"/>
  <c r="I5" i="15" s="1"/>
  <c r="C33" i="15"/>
  <c r="H17" i="15" s="1"/>
  <c r="I17" i="15" s="1"/>
  <c r="C34" i="15"/>
  <c r="H11" i="15" s="1"/>
  <c r="I11" i="15" s="1"/>
  <c r="C32" i="15"/>
  <c r="H23" i="15" s="1"/>
  <c r="I23" i="15" s="1"/>
  <c r="K8" i="15" l="1"/>
  <c r="K11" i="15" s="1"/>
  <c r="L11" i="15" s="1"/>
  <c r="M8" i="15" s="1"/>
  <c r="K20" i="15"/>
  <c r="K23" i="15" s="1"/>
  <c r="L23" i="15" s="1"/>
  <c r="M20" i="15" s="1"/>
  <c r="K2" i="15"/>
  <c r="K5" i="15" s="1"/>
  <c r="L5" i="15" s="1"/>
  <c r="M7" i="15" s="1"/>
  <c r="K14" i="15"/>
  <c r="K17" i="15" s="1"/>
  <c r="L17" i="15" s="1"/>
  <c r="M19" i="15" s="1"/>
  <c r="O5" i="15" l="1"/>
  <c r="O8" i="15" s="1"/>
  <c r="P8" i="15" s="1"/>
  <c r="Q14" i="15" s="1"/>
  <c r="O17" i="15"/>
  <c r="O20" i="15" s="1"/>
  <c r="P20" i="15" s="1"/>
  <c r="U15" i="15" l="1"/>
  <c r="Q15" i="15"/>
  <c r="S12" i="15" s="1"/>
  <c r="S15" i="15" s="1"/>
  <c r="T15" i="15" s="1"/>
  <c r="M11" i="14" l="1"/>
  <c r="E11" i="14"/>
  <c r="D11" i="14"/>
  <c r="C11" i="14"/>
  <c r="D10" i="14"/>
  <c r="C10" i="14"/>
  <c r="M9" i="14"/>
  <c r="M5" i="14"/>
  <c r="M3" i="14" l="1"/>
  <c r="E22" i="14"/>
  <c r="D22" i="14"/>
  <c r="C22" i="14"/>
  <c r="C9" i="14" s="1"/>
  <c r="D21" i="14"/>
  <c r="C21" i="14"/>
  <c r="C20" i="14"/>
  <c r="E18" i="14"/>
  <c r="E5" i="14" s="1"/>
  <c r="D18" i="14"/>
  <c r="D5" i="14" s="1"/>
  <c r="C18" i="14"/>
  <c r="D17" i="14"/>
  <c r="C17" i="14"/>
  <c r="C16" i="14"/>
  <c r="C3" i="14" s="1"/>
  <c r="C5" i="14"/>
  <c r="D4" i="14"/>
  <c r="C4" i="14"/>
  <c r="G11" i="14" l="1"/>
  <c r="G9" i="14"/>
  <c r="G8" i="14"/>
  <c r="G10" i="14"/>
  <c r="G3" i="14"/>
  <c r="G2" i="14"/>
  <c r="G5" i="14"/>
  <c r="G4" i="14"/>
  <c r="I4" i="8"/>
  <c r="E7" i="8"/>
  <c r="E1" i="8"/>
  <c r="S7" i="8"/>
  <c r="H10" i="14" l="1"/>
  <c r="H8" i="14"/>
  <c r="H9" i="14"/>
  <c r="H11" i="14"/>
  <c r="H4" i="14"/>
  <c r="H5" i="14"/>
  <c r="H3" i="14"/>
  <c r="H2" i="14"/>
  <c r="C26" i="8"/>
  <c r="I11" i="14" l="1"/>
  <c r="I9" i="14"/>
  <c r="I8" i="14"/>
  <c r="I10" i="14"/>
  <c r="I5" i="14"/>
  <c r="I3" i="14"/>
  <c r="I4" i="14"/>
  <c r="I2" i="14"/>
  <c r="H3" i="12"/>
  <c r="H2" i="12"/>
  <c r="J16" i="12" l="1"/>
  <c r="J10" i="12"/>
  <c r="J11" i="12"/>
  <c r="J12" i="12"/>
  <c r="J9" i="12"/>
  <c r="L9" i="14"/>
  <c r="L11" i="14"/>
  <c r="L5" i="14"/>
  <c r="L3" i="14"/>
  <c r="D24" i="8"/>
  <c r="E8" i="8"/>
  <c r="E2" i="8"/>
  <c r="E5" i="8" s="1"/>
  <c r="F5" i="8" s="1"/>
  <c r="E2" i="5"/>
  <c r="E11" i="8" l="1"/>
  <c r="F11" i="8" s="1"/>
  <c r="G8" i="8" s="1"/>
  <c r="J14" i="12"/>
  <c r="G5" i="8"/>
  <c r="B14" i="8"/>
  <c r="D23" i="8"/>
  <c r="D21" i="8"/>
  <c r="D22" i="8"/>
  <c r="B159" i="7"/>
  <c r="D158" i="7" s="1"/>
  <c r="D157" i="7"/>
  <c r="I155" i="7"/>
  <c r="B154" i="7"/>
  <c r="B155" i="7" s="1"/>
  <c r="D152" i="7"/>
  <c r="N151" i="7"/>
  <c r="B149" i="7"/>
  <c r="D148" i="7" s="1"/>
  <c r="D147" i="7"/>
  <c r="I145" i="7"/>
  <c r="B144" i="7"/>
  <c r="B145" i="7" s="1"/>
  <c r="T143" i="7"/>
  <c r="D142" i="7"/>
  <c r="B139" i="7"/>
  <c r="D138" i="7" s="1"/>
  <c r="D137" i="7"/>
  <c r="I135" i="7"/>
  <c r="B134" i="7"/>
  <c r="B135" i="7" s="1"/>
  <c r="D132" i="7"/>
  <c r="N131" i="7"/>
  <c r="B129" i="7"/>
  <c r="D128" i="7" s="1"/>
  <c r="D127" i="7"/>
  <c r="I125" i="7"/>
  <c r="B124" i="7"/>
  <c r="B125" i="7" s="1"/>
  <c r="D122" i="7"/>
  <c r="Z121" i="7"/>
  <c r="B119" i="7"/>
  <c r="D118" i="7" s="1"/>
  <c r="D117" i="7"/>
  <c r="I115" i="7"/>
  <c r="B114" i="7"/>
  <c r="B115" i="7" s="1"/>
  <c r="D112" i="7"/>
  <c r="N111" i="7"/>
  <c r="B109" i="7"/>
  <c r="D108" i="7" s="1"/>
  <c r="D107" i="7"/>
  <c r="I105" i="7"/>
  <c r="B104" i="7"/>
  <c r="B105" i="7" s="1"/>
  <c r="D102" i="7"/>
  <c r="T101" i="7"/>
  <c r="B99" i="7"/>
  <c r="B100" i="7" s="1"/>
  <c r="D97" i="7"/>
  <c r="I95" i="7"/>
  <c r="B94" i="7"/>
  <c r="B95" i="7" s="1"/>
  <c r="D92" i="7"/>
  <c r="N91" i="7"/>
  <c r="AF89" i="7"/>
  <c r="AF90" i="7" s="1"/>
  <c r="AF91" i="7" s="1"/>
  <c r="AF92" i="7" s="1"/>
  <c r="AF93" i="7" s="1"/>
  <c r="AF94" i="7" s="1"/>
  <c r="AF95" i="7" s="1"/>
  <c r="AF96" i="7" s="1"/>
  <c r="AF97" i="7" s="1"/>
  <c r="AF98" i="7" s="1"/>
  <c r="AF99" i="7" s="1"/>
  <c r="AF100" i="7" s="1"/>
  <c r="AF101" i="7" s="1"/>
  <c r="AF102" i="7" s="1"/>
  <c r="AF103" i="7" s="1"/>
  <c r="V89" i="7"/>
  <c r="B89" i="7"/>
  <c r="B90" i="7" s="1"/>
  <c r="V88" i="7"/>
  <c r="V87" i="7"/>
  <c r="D87" i="7"/>
  <c r="V86" i="7"/>
  <c r="V85" i="7"/>
  <c r="I85" i="7"/>
  <c r="V84" i="7"/>
  <c r="B84" i="7"/>
  <c r="AF83" i="7"/>
  <c r="V83" i="7"/>
  <c r="V82" i="7"/>
  <c r="D82" i="7"/>
  <c r="V81" i="7"/>
  <c r="V80" i="7"/>
  <c r="V79" i="7"/>
  <c r="B79" i="7"/>
  <c r="B80" i="7" s="1"/>
  <c r="V78" i="7"/>
  <c r="V77" i="7"/>
  <c r="D77" i="7"/>
  <c r="V76" i="7"/>
  <c r="V75" i="7"/>
  <c r="S75" i="7"/>
  <c r="S76" i="7" s="1"/>
  <c r="I75" i="7"/>
  <c r="V74" i="7"/>
  <c r="B74" i="7"/>
  <c r="B75" i="7" s="1"/>
  <c r="D72" i="7"/>
  <c r="N71" i="7"/>
  <c r="B69" i="7"/>
  <c r="B70" i="7" s="1"/>
  <c r="D67" i="7"/>
  <c r="I65" i="7"/>
  <c r="B64" i="7"/>
  <c r="B65" i="7" s="1"/>
  <c r="T62" i="7"/>
  <c r="D62" i="7"/>
  <c r="B59" i="7"/>
  <c r="B60" i="7" s="1"/>
  <c r="D57" i="7"/>
  <c r="I55" i="7"/>
  <c r="B54" i="7"/>
  <c r="B55" i="7" s="1"/>
  <c r="D52" i="7"/>
  <c r="N51" i="7"/>
  <c r="B49" i="7"/>
  <c r="B50" i="7" s="1"/>
  <c r="D47" i="7"/>
  <c r="I45" i="7"/>
  <c r="B44" i="7"/>
  <c r="B45" i="7" s="1"/>
  <c r="D42" i="7"/>
  <c r="Z41" i="7"/>
  <c r="B38" i="7"/>
  <c r="B39" i="7" s="1"/>
  <c r="D36" i="7"/>
  <c r="I34" i="7"/>
  <c r="B33" i="7"/>
  <c r="D32" i="7" s="1"/>
  <c r="D31" i="7"/>
  <c r="N30" i="7"/>
  <c r="B28" i="7"/>
  <c r="B29" i="7" s="1"/>
  <c r="D26" i="7"/>
  <c r="I24" i="7"/>
  <c r="B23" i="7"/>
  <c r="B24" i="7" s="1"/>
  <c r="T21" i="7"/>
  <c r="D21" i="7"/>
  <c r="B18" i="7"/>
  <c r="B19" i="7" s="1"/>
  <c r="D16" i="7"/>
  <c r="I14" i="7"/>
  <c r="B13" i="7"/>
  <c r="D12" i="7" s="1"/>
  <c r="D11" i="7"/>
  <c r="N10" i="7"/>
  <c r="B8" i="7"/>
  <c r="B9" i="7" s="1"/>
  <c r="D6" i="7"/>
  <c r="I4" i="7"/>
  <c r="B3" i="7"/>
  <c r="B4" i="7" s="1"/>
  <c r="D1" i="7"/>
  <c r="AK17" i="6"/>
  <c r="AJ17" i="6"/>
  <c r="AI17" i="6"/>
  <c r="AH17" i="6"/>
  <c r="AG17" i="6"/>
  <c r="AF17" i="6"/>
  <c r="AE17" i="6"/>
  <c r="AD17" i="6"/>
  <c r="AC17" i="6"/>
  <c r="AB17" i="6"/>
  <c r="AA17" i="6"/>
  <c r="Z17" i="6"/>
  <c r="Y17" i="6"/>
  <c r="X17" i="6"/>
  <c r="W17" i="6"/>
  <c r="V17" i="6"/>
  <c r="AK16" i="6"/>
  <c r="AJ16" i="6"/>
  <c r="AI16" i="6"/>
  <c r="AH16" i="6"/>
  <c r="AG16" i="6"/>
  <c r="AF16" i="6"/>
  <c r="AE16" i="6"/>
  <c r="AD16" i="6"/>
  <c r="AC16" i="6"/>
  <c r="AB16" i="6"/>
  <c r="AA16" i="6"/>
  <c r="Z16" i="6"/>
  <c r="Y16" i="6"/>
  <c r="X16" i="6"/>
  <c r="W16" i="6"/>
  <c r="V16" i="6"/>
  <c r="AK15" i="6"/>
  <c r="AJ15" i="6"/>
  <c r="AI15" i="6"/>
  <c r="AH15" i="6"/>
  <c r="AG15" i="6"/>
  <c r="AF15" i="6"/>
  <c r="AE15" i="6"/>
  <c r="AD15" i="6"/>
  <c r="AC15" i="6"/>
  <c r="AB15" i="6"/>
  <c r="AA15" i="6"/>
  <c r="Z15" i="6"/>
  <c r="Y15" i="6"/>
  <c r="X15" i="6"/>
  <c r="W15" i="6"/>
  <c r="V15" i="6"/>
  <c r="AK14" i="6"/>
  <c r="AJ14" i="6"/>
  <c r="AI14" i="6"/>
  <c r="AH14" i="6"/>
  <c r="AG14" i="6"/>
  <c r="AF14" i="6"/>
  <c r="AE14" i="6"/>
  <c r="AD14" i="6"/>
  <c r="AC14" i="6"/>
  <c r="AB14" i="6"/>
  <c r="AA14" i="6"/>
  <c r="Z14" i="6"/>
  <c r="Y14" i="6"/>
  <c r="X14" i="6"/>
  <c r="W14" i="6"/>
  <c r="V14" i="6"/>
  <c r="AK13" i="6"/>
  <c r="AJ13" i="6"/>
  <c r="AI13" i="6"/>
  <c r="AH13" i="6"/>
  <c r="AG13" i="6"/>
  <c r="AF13" i="6"/>
  <c r="AE13" i="6"/>
  <c r="AD13" i="6"/>
  <c r="AC13" i="6"/>
  <c r="AB13" i="6"/>
  <c r="AA13" i="6"/>
  <c r="Z13" i="6"/>
  <c r="Y13" i="6"/>
  <c r="X13" i="6"/>
  <c r="W13" i="6"/>
  <c r="V13" i="6"/>
  <c r="AK12" i="6"/>
  <c r="AJ12" i="6"/>
  <c r="AI12" i="6"/>
  <c r="AH12" i="6"/>
  <c r="AG12" i="6"/>
  <c r="AF12" i="6"/>
  <c r="AE12" i="6"/>
  <c r="AD12" i="6"/>
  <c r="AC12" i="6"/>
  <c r="AB12" i="6"/>
  <c r="AA12" i="6"/>
  <c r="Z12" i="6"/>
  <c r="Y12" i="6"/>
  <c r="X12" i="6"/>
  <c r="W12" i="6"/>
  <c r="V12" i="6"/>
  <c r="AK11" i="6"/>
  <c r="AJ11" i="6"/>
  <c r="AI11" i="6"/>
  <c r="AH11" i="6"/>
  <c r="AG11" i="6"/>
  <c r="AF11" i="6"/>
  <c r="AE11" i="6"/>
  <c r="AD11" i="6"/>
  <c r="AC11" i="6"/>
  <c r="AB11" i="6"/>
  <c r="AA11" i="6"/>
  <c r="Z11" i="6"/>
  <c r="Y11" i="6"/>
  <c r="X11" i="6"/>
  <c r="W11" i="6"/>
  <c r="V11" i="6"/>
  <c r="AK10" i="6"/>
  <c r="AJ10" i="6"/>
  <c r="AI10" i="6"/>
  <c r="AH10" i="6"/>
  <c r="AG10" i="6"/>
  <c r="AF10" i="6"/>
  <c r="AE10" i="6"/>
  <c r="AD10" i="6"/>
  <c r="AC10" i="6"/>
  <c r="AB10" i="6"/>
  <c r="AA10" i="6"/>
  <c r="Z10" i="6"/>
  <c r="Y10" i="6"/>
  <c r="X10" i="6"/>
  <c r="W10" i="6"/>
  <c r="V10" i="6"/>
  <c r="AK9" i="6"/>
  <c r="AJ9" i="6"/>
  <c r="AI9" i="6"/>
  <c r="AH9" i="6"/>
  <c r="AG9" i="6"/>
  <c r="AF9" i="6"/>
  <c r="AE9" i="6"/>
  <c r="AD9" i="6"/>
  <c r="AC9" i="6"/>
  <c r="AB9" i="6"/>
  <c r="AA9" i="6"/>
  <c r="Z9" i="6"/>
  <c r="Y9" i="6"/>
  <c r="X9" i="6"/>
  <c r="W9" i="6"/>
  <c r="V9" i="6"/>
  <c r="AK8" i="6"/>
  <c r="AJ8" i="6"/>
  <c r="AI8" i="6"/>
  <c r="AH8" i="6"/>
  <c r="AG8" i="6"/>
  <c r="AF8" i="6"/>
  <c r="AE8" i="6"/>
  <c r="AD8" i="6"/>
  <c r="AC8" i="6"/>
  <c r="AB8" i="6"/>
  <c r="AA8" i="6"/>
  <c r="Z8" i="6"/>
  <c r="Y8" i="6"/>
  <c r="X8" i="6"/>
  <c r="W8" i="6"/>
  <c r="V8" i="6"/>
  <c r="AK7" i="6"/>
  <c r="AJ7" i="6"/>
  <c r="AI7" i="6"/>
  <c r="AH7" i="6"/>
  <c r="AG7" i="6"/>
  <c r="AF7" i="6"/>
  <c r="AE7" i="6"/>
  <c r="AD7" i="6"/>
  <c r="AC7" i="6"/>
  <c r="AB7" i="6"/>
  <c r="AA7" i="6"/>
  <c r="Z7" i="6"/>
  <c r="Y7" i="6"/>
  <c r="X7" i="6"/>
  <c r="W7" i="6"/>
  <c r="V7" i="6"/>
  <c r="AK6" i="6"/>
  <c r="AJ6" i="6"/>
  <c r="AI6" i="6"/>
  <c r="AH6" i="6"/>
  <c r="AG6" i="6"/>
  <c r="AF6" i="6"/>
  <c r="AE6" i="6"/>
  <c r="AD6" i="6"/>
  <c r="AC6" i="6"/>
  <c r="AB6" i="6"/>
  <c r="AA6" i="6"/>
  <c r="Z6" i="6"/>
  <c r="Y6" i="6"/>
  <c r="X6" i="6"/>
  <c r="W6" i="6"/>
  <c r="V6" i="6"/>
  <c r="AK5" i="6"/>
  <c r="AJ5" i="6"/>
  <c r="AI5" i="6"/>
  <c r="AH5" i="6"/>
  <c r="AG5" i="6"/>
  <c r="AF5" i="6"/>
  <c r="AE5" i="6"/>
  <c r="AD5" i="6"/>
  <c r="AC5" i="6"/>
  <c r="AB5" i="6"/>
  <c r="AA5" i="6"/>
  <c r="Z5" i="6"/>
  <c r="Y5" i="6"/>
  <c r="X5" i="6"/>
  <c r="W5" i="6"/>
  <c r="V5" i="6"/>
  <c r="AK4" i="6"/>
  <c r="AJ4" i="6"/>
  <c r="AI4" i="6"/>
  <c r="AH4" i="6"/>
  <c r="AG4" i="6"/>
  <c r="AF4" i="6"/>
  <c r="AE4" i="6"/>
  <c r="AD4" i="6"/>
  <c r="AC4" i="6"/>
  <c r="AB4" i="6"/>
  <c r="AA4" i="6"/>
  <c r="Z4" i="6"/>
  <c r="Y4" i="6"/>
  <c r="X4" i="6"/>
  <c r="W4" i="6"/>
  <c r="V4" i="6"/>
  <c r="AK3" i="6"/>
  <c r="AJ3" i="6"/>
  <c r="AI3" i="6"/>
  <c r="AH3" i="6"/>
  <c r="AG3" i="6"/>
  <c r="AF3" i="6"/>
  <c r="AE3" i="6"/>
  <c r="AD3" i="6"/>
  <c r="AC3" i="6"/>
  <c r="AB3" i="6"/>
  <c r="AA3" i="6"/>
  <c r="Z3" i="6"/>
  <c r="Y3" i="6"/>
  <c r="X3" i="6"/>
  <c r="W3" i="6"/>
  <c r="V3" i="6"/>
  <c r="C3" i="6"/>
  <c r="C4" i="6" s="1"/>
  <c r="C5" i="6" s="1"/>
  <c r="C6" i="6" s="1"/>
  <c r="C7" i="6" s="1"/>
  <c r="C8" i="6" s="1"/>
  <c r="C9" i="6" s="1"/>
  <c r="C10" i="6" s="1"/>
  <c r="C11" i="6" s="1"/>
  <c r="C12" i="6" s="1"/>
  <c r="C13" i="6" s="1"/>
  <c r="C14" i="6" s="1"/>
  <c r="C15" i="6" s="1"/>
  <c r="C16" i="6" s="1"/>
  <c r="C17" i="6" s="1"/>
  <c r="AK2" i="6"/>
  <c r="AJ2" i="6"/>
  <c r="AI2" i="6"/>
  <c r="AH2" i="6"/>
  <c r="AG2" i="6"/>
  <c r="AF2" i="6"/>
  <c r="AE2" i="6"/>
  <c r="AD2" i="6"/>
  <c r="AC2" i="6"/>
  <c r="AB2" i="6"/>
  <c r="AA2" i="6"/>
  <c r="Z2" i="6"/>
  <c r="Y2" i="6"/>
  <c r="X2" i="6"/>
  <c r="W2" i="6"/>
  <c r="V2" i="6"/>
  <c r="F1" i="6"/>
  <c r="G1" i="6" s="1"/>
  <c r="H1" i="6" s="1"/>
  <c r="I1" i="6" s="1"/>
  <c r="J1" i="6" s="1"/>
  <c r="K1" i="6" s="1"/>
  <c r="L1" i="6" s="1"/>
  <c r="M1" i="6" s="1"/>
  <c r="N1" i="6" s="1"/>
  <c r="O1" i="6" s="1"/>
  <c r="P1" i="6" s="1"/>
  <c r="Q1" i="6" s="1"/>
  <c r="R1" i="6" s="1"/>
  <c r="S1" i="6" s="1"/>
  <c r="T1" i="6" s="1"/>
  <c r="D7" i="7" l="1"/>
  <c r="D9" i="7" s="1"/>
  <c r="E9" i="7" s="1"/>
  <c r="F7" i="7" s="1"/>
  <c r="D37" i="7"/>
  <c r="D39" i="7" s="1"/>
  <c r="E39" i="7" s="1"/>
  <c r="F37" i="7" s="1"/>
  <c r="D27" i="7"/>
  <c r="D29" i="7" s="1"/>
  <c r="E29" i="7" s="1"/>
  <c r="F27" i="7" s="1"/>
  <c r="D48" i="7"/>
  <c r="D50" i="7" s="1"/>
  <c r="E50" i="7" s="1"/>
  <c r="F48" i="7" s="1"/>
  <c r="D53" i="7"/>
  <c r="D55" i="7" s="1"/>
  <c r="E55" i="7" s="1"/>
  <c r="F57" i="7" s="1"/>
  <c r="D58" i="7"/>
  <c r="D60" i="7" s="1"/>
  <c r="E60" i="7" s="1"/>
  <c r="F58" i="7" s="1"/>
  <c r="D110" i="7"/>
  <c r="E110" i="7" s="1"/>
  <c r="F108" i="7" s="1"/>
  <c r="D130" i="7"/>
  <c r="E130" i="7" s="1"/>
  <c r="F128" i="7" s="1"/>
  <c r="D150" i="7"/>
  <c r="E150" i="7" s="1"/>
  <c r="F148" i="7" s="1"/>
  <c r="I5" i="8"/>
  <c r="I8" i="8" s="1"/>
  <c r="J8" i="8" s="1"/>
  <c r="A1" i="8" s="1"/>
  <c r="A2" i="8" s="1"/>
  <c r="D17" i="7"/>
  <c r="D19" i="7" s="1"/>
  <c r="E19" i="7" s="1"/>
  <c r="F17" i="7" s="1"/>
  <c r="D93" i="7"/>
  <c r="D95" i="7" s="1"/>
  <c r="E95" i="7" s="1"/>
  <c r="F97" i="7" s="1"/>
  <c r="D2" i="7"/>
  <c r="D4" i="7" s="1"/>
  <c r="E4" i="7" s="1"/>
  <c r="F6" i="7" s="1"/>
  <c r="B14" i="7"/>
  <c r="D22" i="7"/>
  <c r="D24" i="7" s="1"/>
  <c r="E24" i="7" s="1"/>
  <c r="F26" i="7" s="1"/>
  <c r="B34" i="7"/>
  <c r="D43" i="7"/>
  <c r="D45" i="7" s="1"/>
  <c r="E45" i="7" s="1"/>
  <c r="F47" i="7" s="1"/>
  <c r="D68" i="7"/>
  <c r="D70" i="7" s="1"/>
  <c r="E70" i="7" s="1"/>
  <c r="F68" i="7" s="1"/>
  <c r="D73" i="7"/>
  <c r="D75" i="7" s="1"/>
  <c r="E75" i="7" s="1"/>
  <c r="F77" i="7" s="1"/>
  <c r="D103" i="7"/>
  <c r="D105" i="7" s="1"/>
  <c r="E105" i="7" s="1"/>
  <c r="F107" i="7" s="1"/>
  <c r="D34" i="7"/>
  <c r="E34" i="7" s="1"/>
  <c r="F36" i="7" s="1"/>
  <c r="D78" i="7"/>
  <c r="D80" i="7" s="1"/>
  <c r="E80" i="7" s="1"/>
  <c r="F78" i="7" s="1"/>
  <c r="D120" i="7"/>
  <c r="E120" i="7" s="1"/>
  <c r="F118" i="7" s="1"/>
  <c r="D140" i="7"/>
  <c r="E140" i="7" s="1"/>
  <c r="F138" i="7" s="1"/>
  <c r="D160" i="7"/>
  <c r="E160" i="7" s="1"/>
  <c r="F158" i="7" s="1"/>
  <c r="D14" i="7"/>
  <c r="E14" i="7" s="1"/>
  <c r="F16" i="7" s="1"/>
  <c r="D88" i="7"/>
  <c r="D90" i="7" s="1"/>
  <c r="E90" i="7" s="1"/>
  <c r="F88" i="7" s="1"/>
  <c r="D63" i="7"/>
  <c r="D65" i="7" s="1"/>
  <c r="E65" i="7" s="1"/>
  <c r="F67" i="7" s="1"/>
  <c r="S77" i="7"/>
  <c r="B85" i="7"/>
  <c r="D83" i="7"/>
  <c r="D85" i="7" s="1"/>
  <c r="E85" i="7" s="1"/>
  <c r="F87" i="7" s="1"/>
  <c r="D98" i="7"/>
  <c r="D100" i="7" s="1"/>
  <c r="E100" i="7" s="1"/>
  <c r="F98" i="7" s="1"/>
  <c r="B110" i="7"/>
  <c r="B120" i="7"/>
  <c r="B130" i="7"/>
  <c r="B140" i="7"/>
  <c r="D143" i="7"/>
  <c r="D145" i="7" s="1"/>
  <c r="E145" i="7" s="1"/>
  <c r="F147" i="7" s="1"/>
  <c r="B150" i="7"/>
  <c r="B160" i="7"/>
  <c r="D113" i="7"/>
  <c r="D115" i="7" s="1"/>
  <c r="E115" i="7" s="1"/>
  <c r="F117" i="7" s="1"/>
  <c r="D123" i="7"/>
  <c r="D125" i="7" s="1"/>
  <c r="E125" i="7" s="1"/>
  <c r="F127" i="7" s="1"/>
  <c r="D133" i="7"/>
  <c r="D135" i="7" s="1"/>
  <c r="E135" i="7" s="1"/>
  <c r="F137" i="7" s="1"/>
  <c r="D153" i="7"/>
  <c r="D155" i="7" s="1"/>
  <c r="E155" i="7" s="1"/>
  <c r="F157" i="7" s="1"/>
  <c r="G36" i="7" l="1"/>
  <c r="G37" i="7" s="1"/>
  <c r="G6" i="7"/>
  <c r="I5" i="7" s="1"/>
  <c r="I7" i="7" s="1"/>
  <c r="J7" i="7" s="1"/>
  <c r="K12" i="7" s="1"/>
  <c r="G26" i="7"/>
  <c r="G27" i="7" s="1"/>
  <c r="G107" i="7"/>
  <c r="G108" i="7" s="1"/>
  <c r="G57" i="7"/>
  <c r="I56" i="7" s="1"/>
  <c r="I58" i="7" s="1"/>
  <c r="J58" i="7" s="1"/>
  <c r="K54" i="7" s="1"/>
  <c r="G127" i="7"/>
  <c r="G128" i="7" s="1"/>
  <c r="G147" i="7"/>
  <c r="G148" i="7" s="1"/>
  <c r="K8" i="8"/>
  <c r="G16" i="7"/>
  <c r="G17" i="7" s="1"/>
  <c r="G97" i="7"/>
  <c r="I96" i="7" s="1"/>
  <c r="I98" i="7" s="1"/>
  <c r="J98" i="7" s="1"/>
  <c r="K94" i="7" s="1"/>
  <c r="G117" i="7"/>
  <c r="G118" i="7" s="1"/>
  <c r="G77" i="7"/>
  <c r="G78" i="7" s="1"/>
  <c r="G157" i="7"/>
  <c r="G158" i="7" s="1"/>
  <c r="G47" i="7"/>
  <c r="I46" i="7" s="1"/>
  <c r="I48" i="7" s="1"/>
  <c r="J48" i="7" s="1"/>
  <c r="K53" i="7" s="1"/>
  <c r="G87" i="7"/>
  <c r="I86" i="7" s="1"/>
  <c r="I88" i="7" s="1"/>
  <c r="J88" i="7" s="1"/>
  <c r="K93" i="7" s="1"/>
  <c r="G137" i="7"/>
  <c r="I136" i="7" s="1"/>
  <c r="I138" i="7" s="1"/>
  <c r="J138" i="7" s="1"/>
  <c r="K134" i="7" s="1"/>
  <c r="G67" i="7"/>
  <c r="S78" i="7"/>
  <c r="I25" i="7" l="1"/>
  <c r="I27" i="7" s="1"/>
  <c r="J27" i="7" s="1"/>
  <c r="K32" i="7" s="1"/>
  <c r="G7" i="7"/>
  <c r="I35" i="7"/>
  <c r="I37" i="7" s="1"/>
  <c r="J37" i="7" s="1"/>
  <c r="K33" i="7" s="1"/>
  <c r="I106" i="7"/>
  <c r="I108" i="7" s="1"/>
  <c r="J108" i="7" s="1"/>
  <c r="K113" i="7" s="1"/>
  <c r="L53" i="7"/>
  <c r="L54" i="7" s="1"/>
  <c r="G58" i="7"/>
  <c r="I126" i="7"/>
  <c r="I128" i="7" s="1"/>
  <c r="J128" i="7" s="1"/>
  <c r="K133" i="7" s="1"/>
  <c r="L133" i="7" s="1"/>
  <c r="I146" i="7"/>
  <c r="I148" i="7" s="1"/>
  <c r="J148" i="7" s="1"/>
  <c r="K153" i="7" s="1"/>
  <c r="I15" i="7"/>
  <c r="I17" i="7" s="1"/>
  <c r="J17" i="7" s="1"/>
  <c r="K13" i="7" s="1"/>
  <c r="L12" i="7" s="1"/>
  <c r="G98" i="7"/>
  <c r="I116" i="7"/>
  <c r="I118" i="7" s="1"/>
  <c r="J118" i="7" s="1"/>
  <c r="K114" i="7" s="1"/>
  <c r="I76" i="7"/>
  <c r="I78" i="7" s="1"/>
  <c r="J78" i="7" s="1"/>
  <c r="K74" i="7" s="1"/>
  <c r="G88" i="7"/>
  <c r="I156" i="7"/>
  <c r="I158" i="7" s="1"/>
  <c r="J158" i="7" s="1"/>
  <c r="K154" i="7" s="1"/>
  <c r="G48" i="7"/>
  <c r="G138" i="7"/>
  <c r="L93" i="7"/>
  <c r="N92" i="7" s="1"/>
  <c r="N94" i="7" s="1"/>
  <c r="O94" i="7" s="1"/>
  <c r="Q103" i="7" s="1"/>
  <c r="S79" i="7"/>
  <c r="G68" i="7"/>
  <c r="I66" i="7"/>
  <c r="I68" i="7" s="1"/>
  <c r="J68" i="7" s="1"/>
  <c r="K73" i="7" s="1"/>
  <c r="L32" i="7" l="1"/>
  <c r="N31" i="7" s="1"/>
  <c r="N33" i="7" s="1"/>
  <c r="O33" i="7" s="1"/>
  <c r="Q24" i="7" s="1"/>
  <c r="L113" i="7"/>
  <c r="N112" i="7" s="1"/>
  <c r="N114" i="7" s="1"/>
  <c r="O114" i="7" s="1"/>
  <c r="Q104" i="7" s="1"/>
  <c r="R103" i="7" s="1"/>
  <c r="T102" i="7" s="1"/>
  <c r="T104" i="7" s="1"/>
  <c r="U104" i="7" s="1"/>
  <c r="W123" i="7" s="1"/>
  <c r="N52" i="7"/>
  <c r="N54" i="7" s="1"/>
  <c r="O54" i="7" s="1"/>
  <c r="Q64" i="7" s="1"/>
  <c r="L153" i="7"/>
  <c r="N152" i="7" s="1"/>
  <c r="N154" i="7" s="1"/>
  <c r="O154" i="7" s="1"/>
  <c r="Q146" i="7" s="1"/>
  <c r="L73" i="7"/>
  <c r="L74" i="7" s="1"/>
  <c r="L94" i="7"/>
  <c r="N132" i="7"/>
  <c r="N134" i="7" s="1"/>
  <c r="O134" i="7" s="1"/>
  <c r="Q145" i="7" s="1"/>
  <c r="L134" i="7"/>
  <c r="S80" i="7"/>
  <c r="L13" i="7"/>
  <c r="N11" i="7"/>
  <c r="N13" i="7" s="1"/>
  <c r="O13" i="7" s="1"/>
  <c r="Q23" i="7" s="1"/>
  <c r="L33" i="7" l="1"/>
  <c r="L114" i="7"/>
  <c r="L154" i="7"/>
  <c r="R145" i="7"/>
  <c r="T144" i="7" s="1"/>
  <c r="T146" i="7" s="1"/>
  <c r="U146" i="7" s="1"/>
  <c r="W124" i="7" s="1"/>
  <c r="N72" i="7"/>
  <c r="N74" i="7" s="1"/>
  <c r="O74" i="7" s="1"/>
  <c r="Q65" i="7" s="1"/>
  <c r="R64" i="7" s="1"/>
  <c r="R65" i="7" s="1"/>
  <c r="R104" i="7"/>
  <c r="S81" i="7"/>
  <c r="R23" i="7"/>
  <c r="R146" i="7" l="1"/>
  <c r="T63" i="7"/>
  <c r="T65" i="7" s="1"/>
  <c r="U65" i="7" s="1"/>
  <c r="W44" i="7" s="1"/>
  <c r="R24" i="7"/>
  <c r="T22" i="7"/>
  <c r="T24" i="7" s="1"/>
  <c r="U24" i="7" s="1"/>
  <c r="W43" i="7" s="1"/>
  <c r="X123" i="7"/>
  <c r="S82" i="7"/>
  <c r="X43" i="7" l="1"/>
  <c r="Z42" i="7" s="1"/>
  <c r="Z44" i="7" s="1"/>
  <c r="AA44" i="7" s="1"/>
  <c r="AC85" i="7" s="1"/>
  <c r="T81" i="7"/>
  <c r="T75" i="7"/>
  <c r="T74" i="7"/>
  <c r="T76" i="7"/>
  <c r="T78" i="7"/>
  <c r="T77" i="7"/>
  <c r="T79" i="7"/>
  <c r="T80" i="7"/>
  <c r="T82" i="7"/>
  <c r="S83" i="7"/>
  <c r="Z122" i="7"/>
  <c r="Z124" i="7" s="1"/>
  <c r="AA124" i="7" s="1"/>
  <c r="AC86" i="7" s="1"/>
  <c r="X124" i="7"/>
  <c r="X44" i="7" l="1"/>
  <c r="AD85" i="7"/>
  <c r="AF84" i="7" s="1"/>
  <c r="AF86" i="7" s="1"/>
  <c r="AG86" i="7" s="1"/>
  <c r="S84" i="7"/>
  <c r="T83" i="7"/>
  <c r="AD86" i="7" l="1"/>
  <c r="S85" i="7"/>
  <c r="T84" i="7"/>
  <c r="S86" i="7" l="1"/>
  <c r="T85" i="7"/>
  <c r="S87" i="7" l="1"/>
  <c r="T86" i="7"/>
  <c r="S88" i="7" l="1"/>
  <c r="T87" i="7"/>
  <c r="S89" i="7" l="1"/>
  <c r="T89" i="7" s="1"/>
  <c r="T88" i="7"/>
  <c r="C30" i="5" l="1"/>
  <c r="D27" i="5" s="1"/>
  <c r="E5" i="5"/>
  <c r="E8" i="5"/>
  <c r="E11" i="5" s="1"/>
  <c r="F11" i="5" s="1"/>
  <c r="G8" i="5" s="1"/>
  <c r="F5" i="5" l="1"/>
  <c r="G7" i="5" s="1"/>
  <c r="H2" i="5" s="1"/>
  <c r="I8" i="5" s="1"/>
  <c r="J8" i="5" s="1"/>
  <c r="D26" i="5"/>
  <c r="D25" i="5"/>
  <c r="D28" i="5"/>
</calcChain>
</file>

<file path=xl/sharedStrings.xml><?xml version="1.0" encoding="utf-8"?>
<sst xmlns="http://schemas.openxmlformats.org/spreadsheetml/2006/main" count="2392" uniqueCount="331">
  <si>
    <t>P(A wins)</t>
  </si>
  <si>
    <t>P(B wins)</t>
  </si>
  <si>
    <t>Games</t>
  </si>
  <si>
    <t>Relative</t>
  </si>
  <si>
    <t>P(C wins)</t>
  </si>
  <si>
    <t>P(D wins)</t>
  </si>
  <si>
    <t>A</t>
  </si>
  <si>
    <t>B</t>
  </si>
  <si>
    <t>C</t>
  </si>
  <si>
    <t>D</t>
  </si>
  <si>
    <t>wins</t>
  </si>
  <si>
    <t>percent</t>
  </si>
  <si>
    <t>Overall</t>
  </si>
  <si>
    <t>tournament</t>
  </si>
  <si>
    <t>record</t>
  </si>
  <si>
    <t>of</t>
  </si>
  <si>
    <t>vs.</t>
  </si>
  <si>
    <t>(21-21)</t>
  </si>
  <si>
    <t>(38-33)</t>
  </si>
  <si>
    <t>(20-13)</t>
  </si>
  <si>
    <t>(48-22)</t>
  </si>
  <si>
    <t>(42-8)</t>
  </si>
  <si>
    <t>(11-5)</t>
  </si>
  <si>
    <t>(5-1)</t>
  </si>
  <si>
    <t>(66-16)</t>
  </si>
  <si>
    <t>(66-7)</t>
  </si>
  <si>
    <t>(6-1)</t>
  </si>
  <si>
    <t>(3-3)</t>
  </si>
  <si>
    <t>(19-0)</t>
  </si>
  <si>
    <t>(4-0)</t>
  </si>
  <si>
    <t>(0-0)</t>
  </si>
  <si>
    <t>(0-1)</t>
  </si>
  <si>
    <t>(128-0)</t>
  </si>
  <si>
    <t>seeds:</t>
  </si>
  <si>
    <t>(477-131)</t>
  </si>
  <si>
    <t>#2</t>
  </si>
  <si>
    <t>(339-145)</t>
  </si>
  <si>
    <t>Seed Historical</t>
  </si>
  <si>
    <t>#1</t>
  </si>
  <si>
    <t>(33-38)</t>
  </si>
  <si>
    <t>(2-2)</t>
  </si>
  <si>
    <t>#3</t>
  </si>
  <si>
    <t>(37-23)</t>
  </si>
  <si>
    <t>#4</t>
  </si>
  <si>
    <t>(4-5)</t>
  </si>
  <si>
    <t>#5</t>
  </si>
  <si>
    <t>(1-4)</t>
  </si>
  <si>
    <t>#6</t>
  </si>
  <si>
    <t>(26-10)</t>
  </si>
  <si>
    <t>#7</t>
  </si>
  <si>
    <t>(65-25)</t>
  </si>
  <si>
    <t>#8</t>
  </si>
  <si>
    <t>#9</t>
  </si>
  <si>
    <t>(1-1)</t>
  </si>
  <si>
    <t>#10</t>
  </si>
  <si>
    <t>(32-22)</t>
  </si>
  <si>
    <t>#11</t>
  </si>
  <si>
    <t>(13-1)</t>
  </si>
  <si>
    <t>#12</t>
  </si>
  <si>
    <t>(1-0)</t>
  </si>
  <si>
    <t>#13</t>
  </si>
  <si>
    <t>#14</t>
  </si>
  <si>
    <t>#15</t>
  </si>
  <si>
    <t>(120-9)</t>
  </si>
  <si>
    <t>#16</t>
  </si>
  <si>
    <t>(254-147)</t>
  </si>
  <si>
    <t>(13-20)</t>
  </si>
  <si>
    <t>(23-37)</t>
  </si>
  <si>
    <t>(5-3)</t>
  </si>
  <si>
    <t>(46-38)</t>
  </si>
  <si>
    <t>(9-6)</t>
  </si>
  <si>
    <t>(2-0)</t>
  </si>
  <si>
    <t>(9-4)</t>
  </si>
  <si>
    <t>(34-14)</t>
  </si>
  <si>
    <t>(107-21)</t>
  </si>
  <si>
    <t>(219-150)</t>
  </si>
  <si>
    <t>(22-48)</t>
  </si>
  <si>
    <t>(5-4)</t>
  </si>
  <si>
    <t>(3-5)</t>
  </si>
  <si>
    <t>(49-40)</t>
  </si>
  <si>
    <t>(2-4)</t>
  </si>
  <si>
    <t>(2-3)</t>
  </si>
  <si>
    <t>(3-7)</t>
  </si>
  <si>
    <t>(2-1)</t>
  </si>
  <si>
    <t>(26-12)</t>
  </si>
  <si>
    <t>(102-25)</t>
  </si>
  <si>
    <t>(170-152)</t>
  </si>
  <si>
    <t>(8-42)</t>
  </si>
  <si>
    <t>(4-1)</t>
  </si>
  <si>
    <t>(40-49)</t>
  </si>
  <si>
    <t>(1-3)</t>
  </si>
  <si>
    <t>(1-2)</t>
  </si>
  <si>
    <t>(99-49)</t>
  </si>
  <si>
    <t>(12-3)</t>
  </si>
  <si>
    <t>(179-150)</t>
  </si>
  <si>
    <t>(5-11)</t>
  </si>
  <si>
    <t>(10-26)</t>
  </si>
  <si>
    <t>(38-46)</t>
  </si>
  <si>
    <t>(4-2)</t>
  </si>
  <si>
    <t>(6-4)</t>
  </si>
  <si>
    <t>(96-52)</t>
  </si>
  <si>
    <t>(14-2)</t>
  </si>
  <si>
    <t>(134-151)</t>
  </si>
  <si>
    <t>(1-5)</t>
  </si>
  <si>
    <t>(25-65)</t>
  </si>
  <si>
    <t>(6-9)</t>
  </si>
  <si>
    <t>(3-2)</t>
  </si>
  <si>
    <t>(92-60)</t>
  </si>
  <si>
    <t>(0-3)</t>
  </si>
  <si>
    <t>(117-151)</t>
  </si>
  <si>
    <t>(16-66)</t>
  </si>
  <si>
    <t>(0-2)</t>
  </si>
  <si>
    <t>(7-3)</t>
  </si>
  <si>
    <t>(3-1)</t>
  </si>
  <si>
    <t>(80-72)</t>
  </si>
  <si>
    <t>(85-152)</t>
  </si>
  <si>
    <t>(7-66)</t>
  </si>
  <si>
    <t>(72-80)</t>
  </si>
  <si>
    <t>(98-152)</t>
  </si>
  <si>
    <t>(1-6)</t>
  </si>
  <si>
    <t>(22-32)</t>
  </si>
  <si>
    <t>(4-9)</t>
  </si>
  <si>
    <t>(4-6)</t>
  </si>
  <si>
    <t>(60-92)</t>
  </si>
  <si>
    <t>(80-148)</t>
  </si>
  <si>
    <t>(1-13)</t>
  </si>
  <si>
    <t>(14-34)</t>
  </si>
  <si>
    <t>(52-96)</t>
  </si>
  <si>
    <t>(3-0)</t>
  </si>
  <si>
    <t>(5-0)</t>
  </si>
  <si>
    <t>(70-148)</t>
  </si>
  <si>
    <t>(0-19)</t>
  </si>
  <si>
    <t>(12-26)</t>
  </si>
  <si>
    <t>(49-99)</t>
  </si>
  <si>
    <t>(8-3)</t>
  </si>
  <si>
    <t>(31-128)</t>
  </si>
  <si>
    <t>(0-4)</t>
  </si>
  <si>
    <t>(25-102)</t>
  </si>
  <si>
    <t>(3-12)</t>
  </si>
  <si>
    <t>(3-8)</t>
  </si>
  <si>
    <t>(23-128)</t>
  </si>
  <si>
    <t>(21-107)</t>
  </si>
  <si>
    <t>(2-14)</t>
  </si>
  <si>
    <t>(0-5)</t>
  </si>
  <si>
    <t>(13-128)</t>
  </si>
  <si>
    <t>(9-120)</t>
  </si>
  <si>
    <t>(0-128)</t>
  </si>
  <si>
    <t xml:space="preserve">Game  </t>
  </si>
  <si>
    <t xml:space="preserve"> </t>
  </si>
  <si>
    <t xml:space="preserve">  </t>
  </si>
  <si>
    <t xml:space="preserve">Note: </t>
  </si>
  <si>
    <t xml:space="preserve">Relative  </t>
  </si>
  <si>
    <t>Games needed to win</t>
  </si>
  <si>
    <t>team spending money</t>
  </si>
  <si>
    <t>graph the 16 percentages - exponential</t>
  </si>
  <si>
    <t>n</t>
  </si>
  <si>
    <t>seed</t>
  </si>
  <si>
    <t>game wins</t>
  </si>
  <si>
    <t>Total wins</t>
  </si>
  <si>
    <t>wins/team/tourney</t>
  </si>
  <si>
    <t>NCAA</t>
  </si>
  <si>
    <t>SEED</t>
  </si>
  <si>
    <t>Round 2</t>
  </si>
  <si>
    <t>Round 1</t>
  </si>
  <si>
    <t>Winner</t>
  </si>
  <si>
    <t xml:space="preserve">A wins </t>
  </si>
  <si>
    <t xml:space="preserve">C wins </t>
  </si>
  <si>
    <t xml:space="preserve">HW 5 - Bracket Simulation - due 3/11 </t>
  </si>
  <si>
    <t>a. Create a bracket for a specific sport that has at least 10 playoff teams - the bracket can be based on mid-season win percentage numbers, or the most recent full season.  Create the bracket that requires as few inputs or formula changes as possible.  If the number of games in each series is changed, the spreadsheet should still work automatically.   Same with changing win percentages.</t>
  </si>
  <si>
    <t xml:space="preserve">1)  Your Sport </t>
  </si>
  <si>
    <t>b. Compute the probabilities of winning the championship for different numbers of games in a series (1,3,5,7,9)?  What does the graph look like for these probabilities?</t>
  </si>
  <si>
    <t>c. Run as many simulations as is reasonable given your computer speed (1,000 or 10,000).  Modify VB to handle your simulations.  When you experiment with different numbers of games, you should copy your bracket tab to new tabs so I can see the results.  Also, try to track more that just the championship - can you determine the odds of making it to the championship game?</t>
  </si>
  <si>
    <t>P(A beats B)</t>
  </si>
  <si>
    <t>YOU</t>
  </si>
  <si>
    <t>P(B beats C)</t>
  </si>
  <si>
    <t>P(A beats C)</t>
  </si>
  <si>
    <t>n=7</t>
  </si>
  <si>
    <t>One round</t>
  </si>
  <si>
    <t>win 4</t>
  </si>
  <si>
    <t>win 5</t>
  </si>
  <si>
    <t>win 6</t>
  </si>
  <si>
    <t>win 7</t>
  </si>
  <si>
    <t>p=.609</t>
  </si>
  <si>
    <t>OR</t>
  </si>
  <si>
    <t>Team with .609 wins 7-game series</t>
  </si>
  <si>
    <t>random number &lt; .726 wins the series</t>
  </si>
  <si>
    <t>if this number is &gt;= 4 then A wins the series</t>
  </si>
  <si>
    <t>vlookup</t>
  </si>
  <si>
    <t>Yankees</t>
  </si>
  <si>
    <t>Red Sox</t>
  </si>
  <si>
    <t>Dodgers</t>
  </si>
  <si>
    <t>Mets</t>
  </si>
  <si>
    <t>Your Own Bracket</t>
  </si>
  <si>
    <t>b. Run at least 1,000 simulations for 1,3,5,7 game series</t>
  </si>
  <si>
    <t>c.  Modify your macro to do some extra "stuff".  Do some of the following:</t>
  </si>
  <si>
    <t xml:space="preserve">    create the number of simulated wins and percentages</t>
  </si>
  <si>
    <t xml:space="preserve">    input the number of simulations and number of games per series</t>
  </si>
  <si>
    <t xml:space="preserve">    use at least one array variable</t>
  </si>
  <si>
    <t xml:space="preserve">    track how many times each team makes the finals</t>
  </si>
  <si>
    <t xml:space="preserve">    track all playoff wins for each team?</t>
  </si>
  <si>
    <t>Bracket Simulation - due 4/2 - class time</t>
  </si>
  <si>
    <t>d. Compare a bracket system to a pool play and bracket (one game in bracket) system for 8 teams</t>
  </si>
  <si>
    <r>
      <t xml:space="preserve">a.  Create a bracket for a specific sport that has at least 12 playoff teams.  The bracket should be based on mid-season win percentage numbers, or the most recent full season.  Create the bracket that requires as few inputs or formula changes as possible - you must use "vlookup" Excel function.  If the number of games in each series is changed, the spreadsheet should still work automatically.   Same with changing win percentages. </t>
    </r>
    <r>
      <rPr>
        <b/>
        <sz val="11"/>
        <color theme="1"/>
        <rFont val="Calibri"/>
        <family val="2"/>
        <scheme val="minor"/>
      </rPr>
      <t>Brackets larger than 12 allow for less code modification.</t>
    </r>
  </si>
  <si>
    <t>Pool 1</t>
  </si>
  <si>
    <t>Vlookup</t>
  </si>
  <si>
    <t>E</t>
  </si>
  <si>
    <t>F</t>
  </si>
  <si>
    <t>G</t>
  </si>
  <si>
    <t>H</t>
  </si>
  <si>
    <t>count wins</t>
  </si>
  <si>
    <t>Rank</t>
  </si>
  <si>
    <t>Re-rank ties</t>
  </si>
  <si>
    <t>win % subjective</t>
  </si>
  <si>
    <t>Pool 2</t>
  </si>
  <si>
    <t>Percent</t>
  </si>
  <si>
    <t>Detroit Pistons</t>
  </si>
  <si>
    <t>Washington Wizards</t>
  </si>
  <si>
    <t>San Antonio Spurs</t>
  </si>
  <si>
    <t>Charlotte Hornets</t>
  </si>
  <si>
    <t>Portland Trail Blazers</t>
  </si>
  <si>
    <t>Toronto Raptors</t>
  </si>
  <si>
    <t>Memphis Grizzlies</t>
  </si>
  <si>
    <t>Brooklyn Nets</t>
  </si>
  <si>
    <t>Utah Jazz</t>
  </si>
  <si>
    <t>Atlanta Hawks</t>
  </si>
  <si>
    <t>Chicago Bulls</t>
  </si>
  <si>
    <t>Houston Rockets</t>
  </si>
  <si>
    <t>Philadelphia 76ers</t>
  </si>
  <si>
    <t>Golden State Warriors</t>
  </si>
  <si>
    <t>Miami Heat</t>
  </si>
  <si>
    <t>Los Angeles Lakers</t>
  </si>
  <si>
    <t>Indiana Pacers</t>
  </si>
  <si>
    <t>Sacramento Kings</t>
  </si>
  <si>
    <t>Phoenix Suns</t>
  </si>
  <si>
    <t>Orlando Magic</t>
  </si>
  <si>
    <t>New York Knicks</t>
  </si>
  <si>
    <t>New Orleans Pelicans</t>
  </si>
  <si>
    <t>Cleveland Cavaliers</t>
  </si>
  <si>
    <t>Dallas Mavericks</t>
  </si>
  <si>
    <t>Milwaukee Bucks</t>
  </si>
  <si>
    <t>LA Clippers</t>
  </si>
  <si>
    <t>Minnesota Timberwolves</t>
  </si>
  <si>
    <t>Denver Nuggets</t>
  </si>
  <si>
    <t>Oklahoma City Thunder</t>
  </si>
  <si>
    <t>Boston Celtics</t>
  </si>
  <si>
    <t>playoff</t>
  </si>
  <si>
    <t>+/-</t>
  </si>
  <si>
    <t>PFD</t>
  </si>
  <si>
    <t>PF</t>
  </si>
  <si>
    <t>BLKA</t>
  </si>
  <si>
    <t>BLK</t>
  </si>
  <si>
    <t>STL</t>
  </si>
  <si>
    <t>TOV</t>
  </si>
  <si>
    <t>AST</t>
  </si>
  <si>
    <t>REB</t>
  </si>
  <si>
    <t>DREB</t>
  </si>
  <si>
    <t>OREB</t>
  </si>
  <si>
    <t>FT%</t>
  </si>
  <si>
    <t>FTA</t>
  </si>
  <si>
    <t>FTM</t>
  </si>
  <si>
    <t>3P%</t>
  </si>
  <si>
    <t>3PA</t>
  </si>
  <si>
    <t>3PM</t>
  </si>
  <si>
    <t>FG%</t>
  </si>
  <si>
    <t>FGA</t>
  </si>
  <si>
    <t>FGM</t>
  </si>
  <si>
    <t>PTS</t>
  </si>
  <si>
    <t>MIN</t>
  </si>
  <si>
    <t>WIN%</t>
  </si>
  <si>
    <t>L</t>
  </si>
  <si>
    <t>W</t>
  </si>
  <si>
    <t>GP</t>
  </si>
  <si>
    <t>TEAM</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</si>
  <si>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</si>
  <si>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</si>
  <si>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</si>
  <si>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</si>
  <si>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</si>
  <si>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</si>
  <si>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</si>
  <si>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</si>
  <si>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</si>
  <si>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</si>
  <si>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</si>
  <si>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</si>
  <si>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</si>
  <si>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</si>
  <si>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</si>
  <si>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Significance F</t>
  </si>
  <si>
    <t>Coefficients</t>
  </si>
  <si>
    <t>t Stat</t>
  </si>
  <si>
    <t>P-value</t>
  </si>
  <si>
    <t>Lower 95%</t>
  </si>
  <si>
    <t>Upper 95%</t>
  </si>
  <si>
    <t>Lower 95.0%</t>
  </si>
  <si>
    <t>Upper 95.0%</t>
  </si>
  <si>
    <t>Log</t>
  </si>
  <si>
    <t>regression</t>
  </si>
  <si>
    <t>log</t>
  </si>
  <si>
    <t>logistic</t>
  </si>
  <si>
    <t>odds ratio</t>
  </si>
  <si>
    <t>p/q</t>
  </si>
  <si>
    <t>p</t>
  </si>
  <si>
    <t>q</t>
  </si>
  <si>
    <t>logistic equ</t>
  </si>
  <si>
    <t>prob of making playoffs for a 45% shooting team</t>
  </si>
  <si>
    <t>odds go up 12%</t>
  </si>
  <si>
    <t>ast/tov</t>
  </si>
  <si>
    <t>netblk</t>
  </si>
  <si>
    <t>3pm/allmakes</t>
  </si>
  <si>
    <t>fgm+/-</t>
  </si>
  <si>
    <t>comb ast+/-</t>
  </si>
  <si>
    <t>comb fgm+/-</t>
  </si>
  <si>
    <t>2(Fg%)+3(3pt%)</t>
  </si>
  <si>
    <t>ast/reb</t>
  </si>
  <si>
    <t>2(FgA)+3(3ptA)</t>
  </si>
  <si>
    <t>combAst and +/-</t>
  </si>
  <si>
    <t>(Fg%)+(3pt%)</t>
  </si>
  <si>
    <t>(Fg%)+2(3pt%)</t>
  </si>
  <si>
    <t>BLKA + PF</t>
  </si>
  <si>
    <t>3pm =/-</t>
  </si>
  <si>
    <t>(Fg%)+(3pt%)+ft%</t>
  </si>
  <si>
    <t>pts+fgm</t>
  </si>
  <si>
    <t>3pm and +/-</t>
  </si>
  <si>
    <t>blka</t>
  </si>
  <si>
    <t>Logistic</t>
  </si>
  <si>
    <t>odds go up 4% if either +/- or 3pm increases by 1</t>
  </si>
  <si>
    <t>odds go up 14% if FG% increases by 1</t>
  </si>
  <si>
    <t>odds go up 4% if +/= increases by 1</t>
  </si>
  <si>
    <t>odds go down 21.7% if blcks against increases by 1</t>
  </si>
  <si>
    <t>In general I learned how to apply the logistic equation to my regression to find the probability that an event occurs. I also learned what an odds ratio is and how to calculate it.Laslty I learned in trying a lot of different regressions the relationships that certain variables have with eachother and how that effect the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</si>
</sst>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00"/>
    <numFmt numFmtId="167" formatCode="0.0000"/>
  </numFmts>
  <fonts count="9" x14ac:knownFonts="1">
    <font>
      <sz val="11"/>
      <color theme="1"/>
      <name val="Calibri"/>
      <family val="2"/>
      <scheme val="minor"/>
    </font>
    <font>
      <b/>
      <sz val="11"/>
      <color theme="1"/>
      <name val="Calibri"/>
      <family val="2"/>
      <scheme val="minor"/>
    </font>
    <font>
      <sz val="11"/>
      <color theme="1"/>
      <name val="Calibri"/>
      <family val="2"/>
      <scheme val="minor"/>
    </font>
    <font>
      <b/>
      <sz val="10"/>
      <color theme="1"/>
      <name val="Arial Unicode MS"/>
      <family val="2"/>
    </font>
    <font>
      <sz val="10"/>
      <color theme="1"/>
      <name val="Arial Unicode MS"/>
      <family val="2"/>
    </font>
    <font>
      <sz val="11"/>
      <color theme="0"/>
      <name val="Calibri"/>
      <family val="2"/>
      <scheme val="minor"/>
    </font>
    <font>
      <sz val="7"/>
      <color rgb="FF000000"/>
      <name val="Arial"/>
      <family val="2"/>
    </font>
    <font>
      <b/>
      <sz val="6"/>
      <color rgb="FF000000"/>
      <name val="Arial"/>
      <family val="2"/>
    </font>
    <font>
      <i/>
      <sz val="11"/>
      <color theme="1"/>
      <name val="Calibri"/>
      <family val="2"/>
      <scheme val="minor"/>
    </font>
  </fonts>
  <fills count="8">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rgb="FFFFFFFF"/>
        <bgColor indexed="64"/>
      </patternFill>
    </fill>
  </fills>
  <borders count="14">
    <border>
      <left/>
      <right/>
      <top/>
      <bottom/>
      <diagonal/>
    </border>
    <border>
      <left/>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000000"/>
      </top>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s>
  <cellStyleXfs count="2">
    <xf numFmtId="0" fontId="0" fillId="0" borderId="0"/>
    <xf numFmtId="9" fontId="2" fillId="0" borderId="0" applyFont="0" applyFill="0" applyBorder="0" applyAlignment="0" applyProtection="0"/>
  </cellStyleXfs>
  <cellXfs count="74">
    <xf numFmtId="0" fontId="0" fillId="0" borderId="0" xfId="0"/>
    <xf numFmtId="0" fontId="0" fillId="2" borderId="0" xfId="0" applyFill="1"/>
    <xf numFmtId="0" fontId="1" fillId="2" borderId="0" xfId="0" applyFont="1" applyFill="1" applyAlignment="1">
      <alignment horizontal="center"/>
    </xf>
    <xf numFmtId="0" fontId="1" fillId="2" borderId="0" xfId="0" applyFont="1" applyFill="1"/>
    <xf numFmtId="164" fontId="0" fillId="2" borderId="0" xfId="1" applyNumberFormat="1" applyFont="1" applyFill="1"/>
    <xf numFmtId="0" fontId="3" fillId="0" borderId="0" xfId="0" applyFont="1" applyAlignment="1">
      <alignment vertical="center"/>
    </xf>
    <xf numFmtId="0" fontId="4" fillId="0" borderId="0" xfId="0" applyFont="1" applyAlignment="1">
      <alignment vertical="center"/>
    </xf>
    <xf numFmtId="10" fontId="0" fillId="0" borderId="0" xfId="0" applyNumberFormat="1"/>
    <xf numFmtId="0" fontId="0" fillId="0" borderId="1" xfId="0" applyBorder="1"/>
    <xf numFmtId="0" fontId="0" fillId="0" borderId="0" xfId="0" applyAlignment="1">
      <alignment vertical="center"/>
    </xf>
    <xf numFmtId="0" fontId="4" fillId="0" borderId="0" xfId="0" applyFont="1"/>
    <xf numFmtId="0" fontId="1" fillId="0" borderId="0" xfId="0" applyFont="1"/>
    <xf numFmtId="165" fontId="0" fillId="0" borderId="0" xfId="0" applyNumberFormat="1"/>
    <xf numFmtId="166" fontId="0" fillId="0" borderId="0" xfId="0" applyNumberFormat="1"/>
    <xf numFmtId="2" fontId="0" fillId="0" borderId="0" xfId="0" applyNumberFormat="1"/>
    <xf numFmtId="0" fontId="1" fillId="0" borderId="0" xfId="0" applyFont="1" applyAlignment="1">
      <alignment horizontal="center"/>
    </xf>
    <xf numFmtId="0" fontId="0" fillId="3" borderId="0" xfId="0" applyFill="1"/>
    <xf numFmtId="164" fontId="0" fillId="0" borderId="0" xfId="1" applyNumberFormat="1" applyFont="1"/>
    <xf numFmtId="0" fontId="0" fillId="0" borderId="0" xfId="0" applyAlignment="1">
      <alignment horizontal="right"/>
    </xf>
    <xf numFmtId="165" fontId="0" fillId="3" borderId="0" xfId="0" applyNumberFormat="1" applyFill="1"/>
    <xf numFmtId="164" fontId="0" fillId="0" borderId="0" xfId="1" applyNumberFormat="1" applyFont="1" applyFill="1"/>
    <xf numFmtId="0" fontId="0" fillId="0" borderId="2" xfId="0" applyBorder="1"/>
    <xf numFmtId="0" fontId="0" fillId="0" borderId="3" xfId="0" applyBorder="1"/>
    <xf numFmtId="0" fontId="0" fillId="3" borderId="4" xfId="0" applyFill="1" applyBorder="1"/>
    <xf numFmtId="0" fontId="0" fillId="0" borderId="5" xfId="0" applyBorder="1"/>
    <xf numFmtId="164" fontId="0" fillId="0" borderId="6" xfId="1" applyNumberFormat="1" applyFont="1" applyBorder="1"/>
    <xf numFmtId="165" fontId="0" fillId="3" borderId="5" xfId="0" applyNumberFormat="1" applyFill="1" applyBorder="1"/>
    <xf numFmtId="0" fontId="0" fillId="0" borderId="6" xfId="0" applyBorder="1" applyAlignment="1">
      <alignment horizontal="right"/>
    </xf>
    <xf numFmtId="165" fontId="0" fillId="3" borderId="7" xfId="0" applyNumberFormat="1" applyFill="1" applyBorder="1"/>
    <xf numFmtId="0" fontId="0" fillId="0" borderId="8" xfId="0" applyBorder="1"/>
    <xf numFmtId="0" fontId="0" fillId="0" borderId="9" xfId="0" applyBorder="1"/>
    <xf numFmtId="165" fontId="0" fillId="0" borderId="2" xfId="0" applyNumberFormat="1" applyBorder="1"/>
    <xf numFmtId="165" fontId="0" fillId="0" borderId="5" xfId="0" applyNumberFormat="1" applyBorder="1"/>
    <xf numFmtId="0" fontId="0" fillId="0" borderId="6" xfId="0" applyBorder="1"/>
    <xf numFmtId="0" fontId="0" fillId="0" borderId="7" xfId="0" applyBorder="1"/>
    <xf numFmtId="0" fontId="1" fillId="0" borderId="0" xfId="0" applyFont="1" applyAlignment="1">
      <alignment wrapText="1"/>
    </xf>
    <xf numFmtId="0" fontId="0" fillId="0" borderId="0" xfId="0" applyAlignment="1">
      <alignment wrapText="1"/>
    </xf>
    <xf numFmtId="0" fontId="0" fillId="4" borderId="9" xfId="0" applyFill="1" applyBorder="1"/>
    <xf numFmtId="9" fontId="0" fillId="0" borderId="0" xfId="1" applyFont="1"/>
    <xf numFmtId="164" fontId="1" fillId="0" borderId="0" xfId="1" applyNumberFormat="1" applyFont="1" applyAlignment="1">
      <alignment horizontal="center"/>
    </xf>
    <xf numFmtId="0" fontId="5" fillId="0" borderId="0" xfId="0" applyFont="1"/>
    <xf numFmtId="167" fontId="5" fillId="0" borderId="0" xfId="0" applyNumberFormat="1" applyFont="1" applyAlignment="1">
      <alignment horizontal="center"/>
    </xf>
    <xf numFmtId="0" fontId="0" fillId="0" borderId="4" xfId="0" applyBorder="1"/>
    <xf numFmtId="0" fontId="0" fillId="3" borderId="8" xfId="0" applyFill="1" applyBorder="1"/>
    <xf numFmtId="0" fontId="0" fillId="2" borderId="2" xfId="0" applyFill="1" applyBorder="1"/>
    <xf numFmtId="0" fontId="0" fillId="2" borderId="3" xfId="0" applyFill="1" applyBorder="1"/>
    <xf numFmtId="0" fontId="0" fillId="5" borderId="6" xfId="0" applyFill="1" applyBorder="1" applyAlignment="1">
      <alignment horizontal="right"/>
    </xf>
    <xf numFmtId="164" fontId="0" fillId="5" borderId="6" xfId="1" applyNumberFormat="1" applyFont="1" applyFill="1" applyBorder="1"/>
    <xf numFmtId="0" fontId="0" fillId="6" borderId="0" xfId="0" applyFill="1"/>
    <xf numFmtId="0" fontId="0" fillId="4" borderId="0" xfId="0" applyFill="1"/>
    <xf numFmtId="0" fontId="1" fillId="0" borderId="2" xfId="0" applyFont="1" applyBorder="1"/>
    <xf numFmtId="165" fontId="0" fillId="0" borderId="6" xfId="0" applyNumberFormat="1" applyBorder="1"/>
    <xf numFmtId="164" fontId="0" fillId="0" borderId="0" xfId="1" applyNumberFormat="1" applyFont="1" applyBorder="1"/>
    <xf numFmtId="165" fontId="0" fillId="0" borderId="9" xfId="0" applyNumberFormat="1" applyBorder="1"/>
    <xf numFmtId="0" fontId="0" fillId="0" borderId="0" xfId="0" applyAlignment="1">
      <alignment horizontal="center"/>
    </xf>
    <xf numFmtId="167" fontId="0" fillId="0" borderId="0" xfId="0" applyNumberFormat="1"/>
    <xf numFmtId="0" fontId="0" fillId="7" borderId="0" xfId="0" applyFill="1"/>
    <xf numFmtId="0" fontId="6" fillId="7" borderId="10" xfId="0" applyFont="1" applyFill="1" applyBorder="1" applyAlignment="1">
      <alignment horizontal="right" vertical="center"/>
    </xf>
    <xf numFmtId="0" fontId="6" fillId="2" borderId="10" xfId="0" applyFont="1" applyFill="1" applyBorder="1" applyAlignment="1">
      <alignment horizontal="right" vertical="center"/>
    </xf>
    <xf numFmtId="0" fontId="7" fillId="7" borderId="0" xfId="0" applyFont="1" applyFill="1" applyAlignment="1">
      <alignment horizontal="right"/>
    </xf>
    <xf numFmtId="0" fontId="7" fillId="2" borderId="0" xfId="0" applyFont="1" applyFill="1" applyAlignment="1">
      <alignment horizontal="right"/>
    </xf>
    <xf numFmtId="0" fontId="7" fillId="7" borderId="0" xfId="0" applyFont="1" applyFill="1" applyAlignment="1">
      <alignment horizontal="left"/>
    </xf>
    <xf numFmtId="0" fontId="7" fillId="5" borderId="0" xfId="0" applyFont="1" applyFill="1" applyAlignment="1">
      <alignment horizontal="right"/>
    </xf>
    <xf numFmtId="0" fontId="0" fillId="5" borderId="0" xfId="0" applyFill="1"/>
    <xf numFmtId="0" fontId="8" fillId="0" borderId="11" xfId="0" applyFont="1" applyBorder="1" applyAlignment="1">
      <alignment horizontal="center"/>
    </xf>
    <xf numFmtId="0" fontId="8" fillId="0" borderId="11" xfId="0" applyFont="1" applyBorder="1" applyAlignment="1">
      <alignment horizontal="centerContinuous"/>
    </xf>
    <xf numFmtId="0" fontId="6" fillId="7" borderId="0" xfId="0" applyFont="1" applyFill="1" applyAlignment="1">
      <alignment horizontal="right" vertical="center"/>
    </xf>
    <xf numFmtId="0" fontId="0" fillId="3" borderId="5" xfId="0" applyFill="1" applyBorder="1"/>
    <xf numFmtId="0" fontId="0" fillId="3" borderId="6" xfId="0" applyFill="1" applyBorder="1"/>
    <xf numFmtId="0" fontId="0" fillId="3" borderId="12" xfId="0" applyFill="1" applyBorder="1"/>
    <xf numFmtId="0" fontId="7" fillId="7" borderId="2" xfId="0" applyFont="1" applyFill="1" applyBorder="1" applyAlignment="1">
      <alignment horizontal="center"/>
    </xf>
    <xf numFmtId="0" fontId="7" fillId="7" borderId="13" xfId="0" applyFont="1" applyFill="1" applyBorder="1" applyAlignment="1">
      <alignment horizontal="center"/>
    </xf>
    <xf numFmtId="0" fontId="0" fillId="0" borderId="7" xfId="0" applyBorder="1" applyAlignment="1">
      <alignment horizontal="center"/>
    </xf>
    <xf numFmtId="0" fontId="7" fillId="7" borderId="7" xfId="0" applyFont="1" applyFill="1" applyBorder="1" applyAlignment="1">
      <alignment horizontal="right"/>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Title % by Seed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'NCAA Sim'!$AG$87</c:f>
              <c:strCache>
                <c:ptCount val="1"/>
                <c:pt idx="0">
                  <c:v>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Sim'!$AG$88:$AG$103</c:f>
              <c:numCache>
                <c:formatCode>General</c:formatCode>
                <c:ptCount val="16"/>
                <c:pt idx="0">
                  <c:v>0.52100000000000002</c:v>
                </c:pt>
                <c:pt idx="1">
                  <c:v>0.21299999999999999</c:v>
                </c:pt>
                <c:pt idx="2">
                  <c:v>9.9000000000000005E-2</c:v>
                </c:pt>
                <c:pt idx="3">
                  <c:v>5.5E-2</c:v>
                </c:pt>
                <c:pt idx="4">
                  <c:v>3.5999999999999997E-2</c:v>
                </c:pt>
                <c:pt idx="5">
                  <c:v>2.5999999999999999E-2</c:v>
                </c:pt>
                <c:pt idx="6">
                  <c:v>8.9999999999999993E-3</c:v>
                </c:pt>
                <c:pt idx="7">
                  <c:v>7.0000000000000001E-3</c:v>
                </c:pt>
                <c:pt idx="8">
                  <c:v>3.0000000000000001E-3</c:v>
                </c:pt>
                <c:pt idx="9">
                  <c:v>2E-3</c:v>
                </c:pt>
                <c:pt idx="10">
                  <c:v>8.0000000000000002E-3</c:v>
                </c:pt>
                <c:pt idx="11">
                  <c:v>0</c:v>
                </c:pt>
                <c:pt idx="12">
                  <c:v>0</c:v>
                </c:pt>
                <c:pt idx="13">
                  <c:v>0</c:v>
                </c:pt>
                <c:pt idx="14">
                  <c:v>2.1000000000000001E-2</c:v>
                </c:pt>
                <c:pt idx="15">
                  <c:v>0</c:v>
                </c:pt>
              </c:numCache>
            </c:numRef>
          </c:val>
          <c:extLst>
            <c:ext xmlns:c16="http://schemas.microsoft.com/office/drawing/2014/chart" uri="{C3380CC4-5D6E-409C-BE32-E72D297353CC}">
              <c16:uniqueId val="{00000000-0719-4A44-AF76-0A26B51F45F3}"/>
            </c:ext>
          </c:extLst>
        </c:ser>
        <c:ser>
          <c:idx val="1"/>
          <c:order val="1"/>
          <c:tx>
            <c:strRef>
              <c:f>'NCAA Sim'!$AH$87</c:f>
              <c:strCache>
                <c:ptCount val="1"/>
                <c:pt idx="0">
                  <c:v>3</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Sim'!$AH$88:$AH$103</c:f>
              <c:numCache>
                <c:formatCode>General</c:formatCode>
                <c:ptCount val="16"/>
                <c:pt idx="0">
                  <c:v>0.64600000000000002</c:v>
                </c:pt>
                <c:pt idx="1">
                  <c:v>0.221</c:v>
                </c:pt>
                <c:pt idx="2">
                  <c:v>6.4000000000000001E-2</c:v>
                </c:pt>
                <c:pt idx="3">
                  <c:v>3.4000000000000002E-2</c:v>
                </c:pt>
                <c:pt idx="4">
                  <c:v>1.2999999999999999E-2</c:v>
                </c:pt>
                <c:pt idx="5">
                  <c:v>7.0000000000000001E-3</c:v>
                </c:pt>
                <c:pt idx="6">
                  <c:v>1E-3</c:v>
                </c:pt>
                <c:pt idx="7">
                  <c:v>4.0000000000000001E-3</c:v>
                </c:pt>
                <c:pt idx="8">
                  <c:v>0</c:v>
                </c:pt>
                <c:pt idx="9">
                  <c:v>0</c:v>
                </c:pt>
                <c:pt idx="10">
                  <c:v>6.0000000000000001E-3</c:v>
                </c:pt>
                <c:pt idx="11">
                  <c:v>0</c:v>
                </c:pt>
                <c:pt idx="12">
                  <c:v>0</c:v>
                </c:pt>
                <c:pt idx="13">
                  <c:v>0</c:v>
                </c:pt>
                <c:pt idx="14">
                  <c:v>4.0000000000000001E-3</c:v>
                </c:pt>
                <c:pt idx="15">
                  <c:v>0</c:v>
                </c:pt>
              </c:numCache>
            </c:numRef>
          </c:val>
          <c:extLst>
            <c:ext xmlns:c16="http://schemas.microsoft.com/office/drawing/2014/chart" uri="{C3380CC4-5D6E-409C-BE32-E72D297353CC}">
              <c16:uniqueId val="{00000001-0719-4A44-AF76-0A26B51F45F3}"/>
            </c:ext>
          </c:extLst>
        </c:ser>
        <c:ser>
          <c:idx val="2"/>
          <c:order val="2"/>
          <c:tx>
            <c:strRef>
              <c:f>'NCAA Sim'!$AI$87</c:f>
              <c:strCache>
                <c:ptCount val="1"/>
                <c:pt idx="0">
                  <c:v>5</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Sim'!$AI$88:$AI$103</c:f>
              <c:numCache>
                <c:formatCode>General</c:formatCode>
                <c:ptCount val="16"/>
                <c:pt idx="0" formatCode="0.000000">
                  <c:v>0.67800000000000005</c:v>
                </c:pt>
                <c:pt idx="1">
                  <c:v>0.23799999999999999</c:v>
                </c:pt>
                <c:pt idx="2">
                  <c:v>0.05</c:v>
                </c:pt>
                <c:pt idx="3">
                  <c:v>2.1000000000000001E-2</c:v>
                </c:pt>
                <c:pt idx="4">
                  <c:v>6.0000000000000001E-3</c:v>
                </c:pt>
                <c:pt idx="5">
                  <c:v>5.0000000000000001E-3</c:v>
                </c:pt>
                <c:pt idx="6">
                  <c:v>0</c:v>
                </c:pt>
                <c:pt idx="7">
                  <c:v>1E-3</c:v>
                </c:pt>
                <c:pt idx="8">
                  <c:v>0</c:v>
                </c:pt>
                <c:pt idx="9">
                  <c:v>0</c:v>
                </c:pt>
                <c:pt idx="10">
                  <c:v>1E-3</c:v>
                </c:pt>
                <c:pt idx="11">
                  <c:v>0</c:v>
                </c:pt>
                <c:pt idx="12">
                  <c:v>0</c:v>
                </c:pt>
                <c:pt idx="13">
                  <c:v>0</c:v>
                </c:pt>
                <c:pt idx="14">
                  <c:v>0</c:v>
                </c:pt>
                <c:pt idx="15">
                  <c:v>0</c:v>
                </c:pt>
              </c:numCache>
            </c:numRef>
          </c:val>
          <c:extLst>
            <c:ext xmlns:c16="http://schemas.microsoft.com/office/drawing/2014/chart" uri="{C3380CC4-5D6E-409C-BE32-E72D297353CC}">
              <c16:uniqueId val="{00000002-0719-4A44-AF76-0A26B51F45F3}"/>
            </c:ext>
          </c:extLst>
        </c:ser>
        <c:ser>
          <c:idx val="3"/>
          <c:order val="3"/>
          <c:tx>
            <c:strRef>
              <c:f>'NCAA Sim'!$AJ$87</c:f>
              <c:strCache>
                <c:ptCount val="1"/>
                <c:pt idx="0">
                  <c:v>7</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Sim'!$AJ$88:$AJ$103</c:f>
              <c:numCache>
                <c:formatCode>General</c:formatCode>
                <c:ptCount val="16"/>
                <c:pt idx="0">
                  <c:v>0.70099999999999996</c:v>
                </c:pt>
                <c:pt idx="1">
                  <c:v>0.245</c:v>
                </c:pt>
                <c:pt idx="2">
                  <c:v>0.03</c:v>
                </c:pt>
                <c:pt idx="3">
                  <c:v>1.7000000000000001E-2</c:v>
                </c:pt>
                <c:pt idx="4">
                  <c:v>0</c:v>
                </c:pt>
                <c:pt idx="5">
                  <c:v>4.0000000000000001E-3</c:v>
                </c:pt>
                <c:pt idx="6">
                  <c:v>0</c:v>
                </c:pt>
                <c:pt idx="7">
                  <c:v>2E-3</c:v>
                </c:pt>
                <c:pt idx="8">
                  <c:v>0</c:v>
                </c:pt>
                <c:pt idx="9">
                  <c:v>0</c:v>
                </c:pt>
                <c:pt idx="10">
                  <c:v>1E-3</c:v>
                </c:pt>
                <c:pt idx="11">
                  <c:v>0</c:v>
                </c:pt>
                <c:pt idx="12">
                  <c:v>0</c:v>
                </c:pt>
                <c:pt idx="13">
                  <c:v>0</c:v>
                </c:pt>
                <c:pt idx="14">
                  <c:v>0</c:v>
                </c:pt>
                <c:pt idx="15">
                  <c:v>0</c:v>
                </c:pt>
              </c:numCache>
            </c:numRef>
          </c:val>
          <c:extLst>
            <c:ext xmlns:c16="http://schemas.microsoft.com/office/drawing/2014/chart" uri="{C3380CC4-5D6E-409C-BE32-E72D297353CC}">
              <c16:uniqueId val="{00000003-0719-4A44-AF76-0A26B51F45F3}"/>
            </c:ext>
          </c:extLst>
        </c:ser>
        <c:dLbls>
          <c:showLegendKey val="0"/>
          <c:showVal val="0"/>
          <c:showCatName val="0"/>
          <c:showSerName val="0"/>
          <c:showPercent val="0"/>
          <c:showBubbleSize val="0"/>
        </c:dLbls>
        <c:gapWidth val="150"/>
        <c:axId val="252168064"/>
        <c:axId val="252169600"/>
      </c:barChart>
      <c:catAx>
        <c:axId val="25216806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2169600"/>
        <c:crosses val="autoZero"/>
        <c:auto val="1"/>
        <c:lblAlgn val="ctr"/>
        <c:lblOffset val="100"/>
        <c:noMultiLvlLbl val="0"/>
      </c:catAx>
      <c:valAx>
        <c:axId val="2521696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216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4.xml.rels><?xml version="1.0" encoding="UTF-8" standalone="yes"?>
<Relationships xmlns="http://schemas.openxmlformats.org/package/2006/relationships"><Relationship Id="rId8" Type="http://schemas.openxmlformats.org/officeDocument/2006/relationships/hyperlink" Target="https://www.nba.com/stats/team/1610612739/traditional" TargetMode="External"/><Relationship Id="rId13" Type="http://schemas.openxmlformats.org/officeDocument/2006/relationships/hyperlink" Target="https://www.nba.com/stats/team/1610612758/traditional" TargetMode="External"/><Relationship Id="rId18" Type="http://schemas.openxmlformats.org/officeDocument/2006/relationships/hyperlink" Target="https://www.nba.com/stats/team/1610612755/traditional" TargetMode="External"/><Relationship Id="rId26" Type="http://schemas.openxmlformats.org/officeDocument/2006/relationships/hyperlink" Target="https://www.nba.com/stats/team/1610612757/traditional" TargetMode="External"/><Relationship Id="rId3" Type="http://schemas.openxmlformats.org/officeDocument/2006/relationships/hyperlink" Target="https://www.nba.com/stats/team/1610612743/traditional" TargetMode="External"/><Relationship Id="rId21" Type="http://schemas.openxmlformats.org/officeDocument/2006/relationships/hyperlink" Target="https://www.nba.com/stats/team/1610612737/traditional" TargetMode="External"/><Relationship Id="rId7" Type="http://schemas.openxmlformats.org/officeDocument/2006/relationships/hyperlink" Target="https://www.nba.com/stats/team/1610612742/traditional" TargetMode="External"/><Relationship Id="rId12" Type="http://schemas.openxmlformats.org/officeDocument/2006/relationships/hyperlink" Target="https://www.nba.com/stats/team/1610612756/traditional" TargetMode="External"/><Relationship Id="rId17" Type="http://schemas.openxmlformats.org/officeDocument/2006/relationships/hyperlink" Target="https://www.nba.com/stats/team/1610612744/traditional" TargetMode="External"/><Relationship Id="rId25" Type="http://schemas.openxmlformats.org/officeDocument/2006/relationships/hyperlink" Target="https://www.nba.com/stats/team/1610612761/traditional" TargetMode="External"/><Relationship Id="rId2" Type="http://schemas.openxmlformats.org/officeDocument/2006/relationships/hyperlink" Target="https://www.nba.com/stats/team/1610612760/traditional" TargetMode="External"/><Relationship Id="rId16" Type="http://schemas.openxmlformats.org/officeDocument/2006/relationships/hyperlink" Target="https://www.nba.com/stats/team/1610612748/traditional" TargetMode="External"/><Relationship Id="rId20" Type="http://schemas.openxmlformats.org/officeDocument/2006/relationships/hyperlink" Target="https://www.nba.com/stats/team/1610612741/traditional" TargetMode="External"/><Relationship Id="rId29" Type="http://schemas.openxmlformats.org/officeDocument/2006/relationships/hyperlink" Target="https://www.nba.com/stats/team/1610612764/traditional" TargetMode="External"/><Relationship Id="rId1" Type="http://schemas.openxmlformats.org/officeDocument/2006/relationships/hyperlink" Target="https://www.nba.com/stats/team/1610612738/traditional" TargetMode="External"/><Relationship Id="rId6" Type="http://schemas.openxmlformats.org/officeDocument/2006/relationships/hyperlink" Target="https://www.nba.com/stats/team/1610612749/traditional" TargetMode="External"/><Relationship Id="rId11" Type="http://schemas.openxmlformats.org/officeDocument/2006/relationships/hyperlink" Target="https://www.nba.com/stats/team/1610612753/traditional" TargetMode="External"/><Relationship Id="rId24" Type="http://schemas.openxmlformats.org/officeDocument/2006/relationships/hyperlink" Target="https://www.nba.com/stats/team/1610612763/traditional" TargetMode="External"/><Relationship Id="rId5" Type="http://schemas.openxmlformats.org/officeDocument/2006/relationships/hyperlink" Target="https://www.nba.com/stats/team/1610612746/traditional" TargetMode="External"/><Relationship Id="rId15" Type="http://schemas.openxmlformats.org/officeDocument/2006/relationships/hyperlink" Target="https://www.nba.com/stats/team/1610612747/traditional" TargetMode="External"/><Relationship Id="rId23" Type="http://schemas.openxmlformats.org/officeDocument/2006/relationships/hyperlink" Target="https://www.nba.com/stats/team/1610612751/traditional" TargetMode="External"/><Relationship Id="rId28" Type="http://schemas.openxmlformats.org/officeDocument/2006/relationships/hyperlink" Target="https://www.nba.com/stats/team/1610612759/traditional" TargetMode="External"/><Relationship Id="rId10" Type="http://schemas.openxmlformats.org/officeDocument/2006/relationships/hyperlink" Target="https://www.nba.com/stats/team/1610612752/traditional" TargetMode="External"/><Relationship Id="rId19" Type="http://schemas.openxmlformats.org/officeDocument/2006/relationships/hyperlink" Target="https://www.nba.com/stats/team/1610612745/traditional" TargetMode="External"/><Relationship Id="rId4" Type="http://schemas.openxmlformats.org/officeDocument/2006/relationships/hyperlink" Target="https://www.nba.com/stats/team/1610612750/traditional" TargetMode="External"/><Relationship Id="rId9" Type="http://schemas.openxmlformats.org/officeDocument/2006/relationships/hyperlink" Target="https://www.nba.com/stats/team/1610612740/traditional" TargetMode="External"/><Relationship Id="rId14" Type="http://schemas.openxmlformats.org/officeDocument/2006/relationships/hyperlink" Target="https://www.nba.com/stats/team/1610612754/traditional" TargetMode="External"/><Relationship Id="rId22" Type="http://schemas.openxmlformats.org/officeDocument/2006/relationships/hyperlink" Target="https://www.nba.com/stats/team/1610612762/traditional" TargetMode="External"/><Relationship Id="rId27" Type="http://schemas.openxmlformats.org/officeDocument/2006/relationships/hyperlink" Target="https://www.nba.com/stats/team/1610612766/traditional" TargetMode="External"/><Relationship Id="rId30" Type="http://schemas.openxmlformats.org/officeDocument/2006/relationships/hyperlink" Target="https://www.nba.com/stats/team/1610612765/traditional"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https://www.nba.com/stats/team/1610612739/traditional" TargetMode="External"/><Relationship Id="rId13" Type="http://schemas.openxmlformats.org/officeDocument/2006/relationships/hyperlink" Target="https://www.nba.com/stats/team/1610612758/traditional" TargetMode="External"/><Relationship Id="rId18" Type="http://schemas.openxmlformats.org/officeDocument/2006/relationships/hyperlink" Target="https://www.nba.com/stats/team/1610612755/traditional" TargetMode="External"/><Relationship Id="rId26" Type="http://schemas.openxmlformats.org/officeDocument/2006/relationships/hyperlink" Target="https://www.nba.com/stats/team/1610612757/traditional" TargetMode="External"/><Relationship Id="rId3" Type="http://schemas.openxmlformats.org/officeDocument/2006/relationships/hyperlink" Target="https://www.nba.com/stats/team/1610612743/traditional" TargetMode="External"/><Relationship Id="rId21" Type="http://schemas.openxmlformats.org/officeDocument/2006/relationships/hyperlink" Target="https://www.nba.com/stats/team/1610612737/traditional" TargetMode="External"/><Relationship Id="rId7" Type="http://schemas.openxmlformats.org/officeDocument/2006/relationships/hyperlink" Target="https://www.nba.com/stats/team/1610612742/traditional" TargetMode="External"/><Relationship Id="rId12" Type="http://schemas.openxmlformats.org/officeDocument/2006/relationships/hyperlink" Target="https://www.nba.com/stats/team/1610612756/traditional" TargetMode="External"/><Relationship Id="rId17" Type="http://schemas.openxmlformats.org/officeDocument/2006/relationships/hyperlink" Target="https://www.nba.com/stats/team/1610612744/traditional" TargetMode="External"/><Relationship Id="rId25" Type="http://schemas.openxmlformats.org/officeDocument/2006/relationships/hyperlink" Target="https://www.nba.com/stats/team/1610612761/traditional" TargetMode="External"/><Relationship Id="rId2" Type="http://schemas.openxmlformats.org/officeDocument/2006/relationships/hyperlink" Target="https://www.nba.com/stats/team/1610612760/traditional" TargetMode="External"/><Relationship Id="rId16" Type="http://schemas.openxmlformats.org/officeDocument/2006/relationships/hyperlink" Target="https://www.nba.com/stats/team/1610612748/traditional" TargetMode="External"/><Relationship Id="rId20" Type="http://schemas.openxmlformats.org/officeDocument/2006/relationships/hyperlink" Target="https://www.nba.com/stats/team/1610612741/traditional" TargetMode="External"/><Relationship Id="rId29" Type="http://schemas.openxmlformats.org/officeDocument/2006/relationships/hyperlink" Target="https://www.nba.com/stats/team/1610612764/traditional" TargetMode="External"/><Relationship Id="rId1" Type="http://schemas.openxmlformats.org/officeDocument/2006/relationships/hyperlink" Target="https://www.nba.com/stats/team/1610612738/traditional" TargetMode="External"/><Relationship Id="rId6" Type="http://schemas.openxmlformats.org/officeDocument/2006/relationships/hyperlink" Target="https://www.nba.com/stats/team/1610612749/traditional" TargetMode="External"/><Relationship Id="rId11" Type="http://schemas.openxmlformats.org/officeDocument/2006/relationships/hyperlink" Target="https://www.nba.com/stats/team/1610612753/traditional" TargetMode="External"/><Relationship Id="rId24" Type="http://schemas.openxmlformats.org/officeDocument/2006/relationships/hyperlink" Target="https://www.nba.com/stats/team/1610612763/traditional" TargetMode="External"/><Relationship Id="rId5" Type="http://schemas.openxmlformats.org/officeDocument/2006/relationships/hyperlink" Target="https://www.nba.com/stats/team/1610612746/traditional" TargetMode="External"/><Relationship Id="rId15" Type="http://schemas.openxmlformats.org/officeDocument/2006/relationships/hyperlink" Target="https://www.nba.com/stats/team/1610612747/traditional" TargetMode="External"/><Relationship Id="rId23" Type="http://schemas.openxmlformats.org/officeDocument/2006/relationships/hyperlink" Target="https://www.nba.com/stats/team/1610612751/traditional" TargetMode="External"/><Relationship Id="rId28" Type="http://schemas.openxmlformats.org/officeDocument/2006/relationships/hyperlink" Target="https://www.nba.com/stats/team/1610612759/traditional" TargetMode="External"/><Relationship Id="rId10" Type="http://schemas.openxmlformats.org/officeDocument/2006/relationships/hyperlink" Target="https://www.nba.com/stats/team/1610612752/traditional" TargetMode="External"/><Relationship Id="rId19" Type="http://schemas.openxmlformats.org/officeDocument/2006/relationships/hyperlink" Target="https://www.nba.com/stats/team/1610612745/traditional" TargetMode="External"/><Relationship Id="rId4" Type="http://schemas.openxmlformats.org/officeDocument/2006/relationships/hyperlink" Target="https://www.nba.com/stats/team/1610612750/traditional" TargetMode="External"/><Relationship Id="rId9" Type="http://schemas.openxmlformats.org/officeDocument/2006/relationships/hyperlink" Target="https://www.nba.com/stats/team/1610612740/traditional" TargetMode="External"/><Relationship Id="rId14" Type="http://schemas.openxmlformats.org/officeDocument/2006/relationships/hyperlink" Target="https://www.nba.com/stats/team/1610612754/traditional" TargetMode="External"/><Relationship Id="rId22" Type="http://schemas.openxmlformats.org/officeDocument/2006/relationships/hyperlink" Target="https://www.nba.com/stats/team/1610612762/traditional" TargetMode="External"/><Relationship Id="rId27" Type="http://schemas.openxmlformats.org/officeDocument/2006/relationships/hyperlink" Target="https://www.nba.com/stats/team/1610612766/traditional" TargetMode="External"/><Relationship Id="rId30" Type="http://schemas.openxmlformats.org/officeDocument/2006/relationships/hyperlink" Target="https://www.nba.com/stats/team/1610612765/traditional" TargetMode="External"/></Relationships>
</file>

<file path=xl/drawings/_rels/drawing6.xml.rels><?xml version="1.0" encoding="UTF-8" standalone="yes"?>
<Relationships xmlns="http://schemas.openxmlformats.org/package/2006/relationships"><Relationship Id="rId8" Type="http://schemas.openxmlformats.org/officeDocument/2006/relationships/hyperlink" Target="https://www.nba.com/stats/team/1610612739/traditional" TargetMode="External"/><Relationship Id="rId13" Type="http://schemas.openxmlformats.org/officeDocument/2006/relationships/hyperlink" Target="https://www.nba.com/stats/team/1610612758/traditional" TargetMode="External"/><Relationship Id="rId18" Type="http://schemas.openxmlformats.org/officeDocument/2006/relationships/hyperlink" Target="https://www.nba.com/stats/team/1610612755/traditional" TargetMode="External"/><Relationship Id="rId26" Type="http://schemas.openxmlformats.org/officeDocument/2006/relationships/hyperlink" Target="https://www.nba.com/stats/team/1610612757/traditional" TargetMode="External"/><Relationship Id="rId3" Type="http://schemas.openxmlformats.org/officeDocument/2006/relationships/hyperlink" Target="https://www.nba.com/stats/team/1610612743/traditional" TargetMode="External"/><Relationship Id="rId21" Type="http://schemas.openxmlformats.org/officeDocument/2006/relationships/hyperlink" Target="https://www.nba.com/stats/team/1610612737/traditional" TargetMode="External"/><Relationship Id="rId7" Type="http://schemas.openxmlformats.org/officeDocument/2006/relationships/hyperlink" Target="https://www.nba.com/stats/team/1610612742/traditional" TargetMode="External"/><Relationship Id="rId12" Type="http://schemas.openxmlformats.org/officeDocument/2006/relationships/hyperlink" Target="https://www.nba.com/stats/team/1610612756/traditional" TargetMode="External"/><Relationship Id="rId17" Type="http://schemas.openxmlformats.org/officeDocument/2006/relationships/hyperlink" Target="https://www.nba.com/stats/team/1610612744/traditional" TargetMode="External"/><Relationship Id="rId25" Type="http://schemas.openxmlformats.org/officeDocument/2006/relationships/hyperlink" Target="https://www.nba.com/stats/team/1610612761/traditional" TargetMode="External"/><Relationship Id="rId2" Type="http://schemas.openxmlformats.org/officeDocument/2006/relationships/hyperlink" Target="https://www.nba.com/stats/team/1610612760/traditional" TargetMode="External"/><Relationship Id="rId16" Type="http://schemas.openxmlformats.org/officeDocument/2006/relationships/hyperlink" Target="https://www.nba.com/stats/team/1610612748/traditional" TargetMode="External"/><Relationship Id="rId20" Type="http://schemas.openxmlformats.org/officeDocument/2006/relationships/hyperlink" Target="https://www.nba.com/stats/team/1610612741/traditional" TargetMode="External"/><Relationship Id="rId29" Type="http://schemas.openxmlformats.org/officeDocument/2006/relationships/hyperlink" Target="https://www.nba.com/stats/team/1610612764/traditional" TargetMode="External"/><Relationship Id="rId1" Type="http://schemas.openxmlformats.org/officeDocument/2006/relationships/hyperlink" Target="https://www.nba.com/stats/team/1610612738/traditional" TargetMode="External"/><Relationship Id="rId6" Type="http://schemas.openxmlformats.org/officeDocument/2006/relationships/hyperlink" Target="https://www.nba.com/stats/team/1610612749/traditional" TargetMode="External"/><Relationship Id="rId11" Type="http://schemas.openxmlformats.org/officeDocument/2006/relationships/hyperlink" Target="https://www.nba.com/stats/team/1610612753/traditional" TargetMode="External"/><Relationship Id="rId24" Type="http://schemas.openxmlformats.org/officeDocument/2006/relationships/hyperlink" Target="https://www.nba.com/stats/team/1610612763/traditional" TargetMode="External"/><Relationship Id="rId5" Type="http://schemas.openxmlformats.org/officeDocument/2006/relationships/hyperlink" Target="https://www.nba.com/stats/team/1610612746/traditional" TargetMode="External"/><Relationship Id="rId15" Type="http://schemas.openxmlformats.org/officeDocument/2006/relationships/hyperlink" Target="https://www.nba.com/stats/team/1610612747/traditional" TargetMode="External"/><Relationship Id="rId23" Type="http://schemas.openxmlformats.org/officeDocument/2006/relationships/hyperlink" Target="https://www.nba.com/stats/team/1610612751/traditional" TargetMode="External"/><Relationship Id="rId28" Type="http://schemas.openxmlformats.org/officeDocument/2006/relationships/hyperlink" Target="https://www.nba.com/stats/team/1610612759/traditional" TargetMode="External"/><Relationship Id="rId10" Type="http://schemas.openxmlformats.org/officeDocument/2006/relationships/hyperlink" Target="https://www.nba.com/stats/team/1610612752/traditional" TargetMode="External"/><Relationship Id="rId19" Type="http://schemas.openxmlformats.org/officeDocument/2006/relationships/hyperlink" Target="https://www.nba.com/stats/team/1610612745/traditional" TargetMode="External"/><Relationship Id="rId4" Type="http://schemas.openxmlformats.org/officeDocument/2006/relationships/hyperlink" Target="https://www.nba.com/stats/team/1610612750/traditional" TargetMode="External"/><Relationship Id="rId9" Type="http://schemas.openxmlformats.org/officeDocument/2006/relationships/hyperlink" Target="https://www.nba.com/stats/team/1610612740/traditional" TargetMode="External"/><Relationship Id="rId14" Type="http://schemas.openxmlformats.org/officeDocument/2006/relationships/hyperlink" Target="https://www.nba.com/stats/team/1610612754/traditional" TargetMode="External"/><Relationship Id="rId22" Type="http://schemas.openxmlformats.org/officeDocument/2006/relationships/hyperlink" Target="https://www.nba.com/stats/team/1610612762/traditional" TargetMode="External"/><Relationship Id="rId27" Type="http://schemas.openxmlformats.org/officeDocument/2006/relationships/hyperlink" Target="https://www.nba.com/stats/team/1610612766/traditional" TargetMode="External"/><Relationship Id="rId30" Type="http://schemas.openxmlformats.org/officeDocument/2006/relationships/hyperlink" Target="https://www.nba.com/stats/team/1610612765/traditional" TargetMode="External"/></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228600</xdr:colOff>
      <xdr:row>14</xdr:row>
      <xdr:rowOff>60960</xdr:rowOff>
    </xdr:from>
    <xdr:to>
      <xdr:col>5</xdr:col>
      <xdr:colOff>586740</xdr:colOff>
      <xdr:row>17</xdr:row>
      <xdr:rowOff>152400</xdr:rowOff>
    </xdr:to>
    <xdr:sp macro="[0]!Macro1" textlink="">
      <xdr:nvSpPr>
        <xdr:cNvPr id="2" name="Smiley Face 1">
          <a:extLst>
            <a:ext uri="{FF2B5EF4-FFF2-40B4-BE49-F238E27FC236}">
              <a16:creationId xmlns:a16="http://schemas.microsoft.com/office/drawing/2014/main" id="{00000000-0008-0000-0000-000002000000}"/>
            </a:ext>
          </a:extLst>
        </xdr:cNvPr>
        <xdr:cNvSpPr/>
      </xdr:nvSpPr>
      <xdr:spPr>
        <a:xfrm>
          <a:off x="2956560" y="2255520"/>
          <a:ext cx="967740" cy="64008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228600</xdr:colOff>
      <xdr:row>14</xdr:row>
      <xdr:rowOff>60960</xdr:rowOff>
    </xdr:from>
    <xdr:to>
      <xdr:col>5</xdr:col>
      <xdr:colOff>586740</xdr:colOff>
      <xdr:row>17</xdr:row>
      <xdr:rowOff>152400</xdr:rowOff>
    </xdr:to>
    <xdr:sp macro="[0]!Macro1" textlink="">
      <xdr:nvSpPr>
        <xdr:cNvPr id="2" name="Smiley Face 1">
          <a:extLst>
            <a:ext uri="{FF2B5EF4-FFF2-40B4-BE49-F238E27FC236}">
              <a16:creationId xmlns:a16="http://schemas.microsoft.com/office/drawing/2014/main" id="{00000000-0008-0000-0300-000002000000}"/>
            </a:ext>
          </a:extLst>
        </xdr:cNvPr>
        <xdr:cNvSpPr/>
      </xdr:nvSpPr>
      <xdr:spPr>
        <a:xfrm>
          <a:off x="2956560" y="2621280"/>
          <a:ext cx="1013460" cy="64008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144780</xdr:colOff>
      <xdr:row>24</xdr:row>
      <xdr:rowOff>22860</xdr:rowOff>
    </xdr:from>
    <xdr:to>
      <xdr:col>7</xdr:col>
      <xdr:colOff>525780</xdr:colOff>
      <xdr:row>27</xdr:row>
      <xdr:rowOff>114300</xdr:rowOff>
    </xdr:to>
    <xdr:sp macro="[0]!Macro2" textlink="">
      <xdr:nvSpPr>
        <xdr:cNvPr id="3" name="Smiley Face 2">
          <a:extLst>
            <a:ext uri="{FF2B5EF4-FFF2-40B4-BE49-F238E27FC236}">
              <a16:creationId xmlns:a16="http://schemas.microsoft.com/office/drawing/2014/main" id="{00000000-0008-0000-0300-000003000000}"/>
            </a:ext>
          </a:extLst>
        </xdr:cNvPr>
        <xdr:cNvSpPr/>
      </xdr:nvSpPr>
      <xdr:spPr>
        <a:xfrm>
          <a:off x="4236720" y="4450080"/>
          <a:ext cx="990600" cy="640080"/>
        </a:xfrm>
        <a:prstGeom prst="smileyFace">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416491</xdr:colOff>
      <xdr:row>10</xdr:row>
      <xdr:rowOff>134027</xdr:rowOff>
    </xdr:from>
    <xdr:to>
      <xdr:col>14</xdr:col>
      <xdr:colOff>210960</xdr:colOff>
      <xdr:row>13</xdr:row>
      <xdr:rowOff>82636</xdr:rowOff>
    </xdr:to>
    <xdr:sp macro="[0]!macro4" textlink="">
      <xdr:nvSpPr>
        <xdr:cNvPr id="2" name="Smiley Face 1">
          <a:extLst>
            <a:ext uri="{FF2B5EF4-FFF2-40B4-BE49-F238E27FC236}">
              <a16:creationId xmlns:a16="http://schemas.microsoft.com/office/drawing/2014/main" id="{AA3C35ED-4578-4EFA-8AF0-C06A944EB2D0}"/>
            </a:ext>
          </a:extLst>
        </xdr:cNvPr>
        <xdr:cNvSpPr/>
      </xdr:nvSpPr>
      <xdr:spPr>
        <a:xfrm>
          <a:off x="7724071" y="2000927"/>
          <a:ext cx="1013669" cy="520109"/>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491472</xdr:colOff>
      <xdr:row>4</xdr:row>
      <xdr:rowOff>156575</xdr:rowOff>
    </xdr:from>
    <xdr:to>
      <xdr:col>12</xdr:col>
      <xdr:colOff>243562</xdr:colOff>
      <xdr:row>6</xdr:row>
      <xdr:rowOff>121781</xdr:rowOff>
    </xdr:to>
    <xdr:cxnSp macro="">
      <xdr:nvCxnSpPr>
        <xdr:cNvPr id="3" name="Straight Arrow Connector 2">
          <a:extLst>
            <a:ext uri="{FF2B5EF4-FFF2-40B4-BE49-F238E27FC236}">
              <a16:creationId xmlns:a16="http://schemas.microsoft.com/office/drawing/2014/main" id="{AD5D1149-0163-481F-B84D-E7D61F17C4A1}"/>
            </a:ext>
          </a:extLst>
        </xdr:cNvPr>
        <xdr:cNvCxnSpPr/>
      </xdr:nvCxnSpPr>
      <xdr:spPr>
        <a:xfrm>
          <a:off x="7189452" y="895715"/>
          <a:ext cx="361690" cy="346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465377</xdr:colOff>
      <xdr:row>7</xdr:row>
      <xdr:rowOff>147876</xdr:rowOff>
    </xdr:from>
    <xdr:to>
      <xdr:col>12</xdr:col>
      <xdr:colOff>282705</xdr:colOff>
      <xdr:row>10</xdr:row>
      <xdr:rowOff>43493</xdr:rowOff>
    </xdr:to>
    <xdr:cxnSp macro="">
      <xdr:nvCxnSpPr>
        <xdr:cNvPr id="4" name="Straight Arrow Connector 3">
          <a:extLst>
            <a:ext uri="{FF2B5EF4-FFF2-40B4-BE49-F238E27FC236}">
              <a16:creationId xmlns:a16="http://schemas.microsoft.com/office/drawing/2014/main" id="{D9EDC71A-89E7-4598-A589-2F6C338E7B85}"/>
            </a:ext>
          </a:extLst>
        </xdr:cNvPr>
        <xdr:cNvCxnSpPr/>
      </xdr:nvCxnSpPr>
      <xdr:spPr>
        <a:xfrm flipV="1">
          <a:off x="7163357" y="1450896"/>
          <a:ext cx="426928" cy="45949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0</xdr:colOff>
      <xdr:row>0</xdr:row>
      <xdr:rowOff>0</xdr:rowOff>
    </xdr:from>
    <xdr:ext cx="304800" cy="304800"/>
    <xdr:sp macro="" textlink="">
      <xdr:nvSpPr>
        <xdr:cNvPr id="2" name="AutoShape 1" descr="Boston Celtics Logo">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spect="1" noChangeArrowheads="1"/>
        </xdr:cNvSpPr>
      </xdr:nvSpPr>
      <xdr:spPr bwMode="auto">
        <a:xfrm>
          <a:off x="6096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xdr:row>
      <xdr:rowOff>0</xdr:rowOff>
    </xdr:from>
    <xdr:ext cx="304800" cy="304800"/>
    <xdr:sp macro="" textlink="">
      <xdr:nvSpPr>
        <xdr:cNvPr id="3" name="AutoShape 2" descr="Oklahoma City Thunder Logo">
          <a:hlinkClick xmlns:r="http://schemas.openxmlformats.org/officeDocument/2006/relationships" r:id="rId2"/>
          <a:extLst>
            <a:ext uri="{FF2B5EF4-FFF2-40B4-BE49-F238E27FC236}">
              <a16:creationId xmlns:a16="http://schemas.microsoft.com/office/drawing/2014/main" id="{00000000-0008-0000-0700-000003000000}"/>
            </a:ext>
          </a:extLst>
        </xdr:cNvPr>
        <xdr:cNvSpPr>
          <a:spLocks noChangeAspect="1" noChangeArrowheads="1"/>
        </xdr:cNvSpPr>
      </xdr:nvSpPr>
      <xdr:spPr bwMode="auto">
        <a:xfrm>
          <a:off x="609600" y="182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xdr:row>
      <xdr:rowOff>0</xdr:rowOff>
    </xdr:from>
    <xdr:ext cx="304800" cy="304800"/>
    <xdr:sp macro="" textlink="">
      <xdr:nvSpPr>
        <xdr:cNvPr id="4" name="AutoShape 3" descr="Denver Nuggets Logo">
          <a:hlinkClick xmlns:r="http://schemas.openxmlformats.org/officeDocument/2006/relationships" r:id="rId3"/>
          <a:extLst>
            <a:ext uri="{FF2B5EF4-FFF2-40B4-BE49-F238E27FC236}">
              <a16:creationId xmlns:a16="http://schemas.microsoft.com/office/drawing/2014/main" id="{00000000-0008-0000-0700-000004000000}"/>
            </a:ext>
          </a:extLst>
        </xdr:cNvPr>
        <xdr:cNvSpPr>
          <a:spLocks noChangeAspect="1" noChangeArrowheads="1"/>
        </xdr:cNvSpPr>
      </xdr:nvSpPr>
      <xdr:spPr bwMode="auto">
        <a:xfrm>
          <a:off x="609600" y="5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xdr:row>
      <xdr:rowOff>0</xdr:rowOff>
    </xdr:from>
    <xdr:ext cx="304800" cy="304800"/>
    <xdr:sp macro="" textlink="">
      <xdr:nvSpPr>
        <xdr:cNvPr id="5" name="AutoShape 4" descr="Minnesota Timberwolves Logo">
          <a:hlinkClick xmlns:r="http://schemas.openxmlformats.org/officeDocument/2006/relationships" r:id="rId4"/>
          <a:extLst>
            <a:ext uri="{FF2B5EF4-FFF2-40B4-BE49-F238E27FC236}">
              <a16:creationId xmlns:a16="http://schemas.microsoft.com/office/drawing/2014/main" id="{00000000-0008-0000-0700-000005000000}"/>
            </a:ext>
          </a:extLst>
        </xdr:cNvPr>
        <xdr:cNvSpPr>
          <a:spLocks noChangeAspect="1" noChangeArrowheads="1"/>
        </xdr:cNvSpPr>
      </xdr:nvSpPr>
      <xdr:spPr bwMode="auto">
        <a:xfrm>
          <a:off x="609600" y="73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xdr:row>
      <xdr:rowOff>0</xdr:rowOff>
    </xdr:from>
    <xdr:ext cx="304800" cy="304800"/>
    <xdr:sp macro="" textlink="">
      <xdr:nvSpPr>
        <xdr:cNvPr id="6" name="AutoShape 5" descr="LA Clippers Logo">
          <a:hlinkClick xmlns:r="http://schemas.openxmlformats.org/officeDocument/2006/relationships" r:id="rId5"/>
          <a:extLst>
            <a:ext uri="{FF2B5EF4-FFF2-40B4-BE49-F238E27FC236}">
              <a16:creationId xmlns:a16="http://schemas.microsoft.com/office/drawing/2014/main" id="{00000000-0008-0000-0700-000006000000}"/>
            </a:ext>
          </a:extLst>
        </xdr:cNvPr>
        <xdr:cNvSpPr>
          <a:spLocks noChangeAspect="1" noChangeArrowheads="1"/>
        </xdr:cNvSpPr>
      </xdr:nvSpPr>
      <xdr:spPr bwMode="auto">
        <a:xfrm>
          <a:off x="609600" y="91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6</xdr:row>
      <xdr:rowOff>0</xdr:rowOff>
    </xdr:from>
    <xdr:ext cx="304800" cy="304800"/>
    <xdr:sp macro="" textlink="">
      <xdr:nvSpPr>
        <xdr:cNvPr id="7" name="AutoShape 6" descr="Milwaukee Bucks Logo">
          <a:hlinkClick xmlns:r="http://schemas.openxmlformats.org/officeDocument/2006/relationships" r:id="rId6"/>
          <a:extLst>
            <a:ext uri="{FF2B5EF4-FFF2-40B4-BE49-F238E27FC236}">
              <a16:creationId xmlns:a16="http://schemas.microsoft.com/office/drawing/2014/main" id="{00000000-0008-0000-0700-000007000000}"/>
            </a:ext>
          </a:extLst>
        </xdr:cNvPr>
        <xdr:cNvSpPr>
          <a:spLocks noChangeAspect="1" noChangeArrowheads="1"/>
        </xdr:cNvSpPr>
      </xdr:nvSpPr>
      <xdr:spPr bwMode="auto">
        <a:xfrm>
          <a:off x="609600" y="1097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7</xdr:row>
      <xdr:rowOff>0</xdr:rowOff>
    </xdr:from>
    <xdr:ext cx="304800" cy="304800"/>
    <xdr:sp macro="" textlink="">
      <xdr:nvSpPr>
        <xdr:cNvPr id="8" name="AutoShape 7" descr="Dallas Mavericks Logo">
          <a:hlinkClick xmlns:r="http://schemas.openxmlformats.org/officeDocument/2006/relationships" r:id="rId7"/>
          <a:extLst>
            <a:ext uri="{FF2B5EF4-FFF2-40B4-BE49-F238E27FC236}">
              <a16:creationId xmlns:a16="http://schemas.microsoft.com/office/drawing/2014/main" id="{00000000-0008-0000-0700-000008000000}"/>
            </a:ext>
          </a:extLst>
        </xdr:cNvPr>
        <xdr:cNvSpPr>
          <a:spLocks noChangeAspect="1" noChangeArrowheads="1"/>
        </xdr:cNvSpPr>
      </xdr:nvSpPr>
      <xdr:spPr bwMode="auto">
        <a:xfrm>
          <a:off x="609600" y="128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8</xdr:row>
      <xdr:rowOff>0</xdr:rowOff>
    </xdr:from>
    <xdr:ext cx="304800" cy="304800"/>
    <xdr:sp macro="" textlink="">
      <xdr:nvSpPr>
        <xdr:cNvPr id="9" name="AutoShape 8" descr="Cleveland Cavaliers Logo">
          <a:hlinkClick xmlns:r="http://schemas.openxmlformats.org/officeDocument/2006/relationships" r:id="rId8"/>
          <a:extLst>
            <a:ext uri="{FF2B5EF4-FFF2-40B4-BE49-F238E27FC236}">
              <a16:creationId xmlns:a16="http://schemas.microsoft.com/office/drawing/2014/main" id="{00000000-0008-0000-0700-000009000000}"/>
            </a:ext>
          </a:extLst>
        </xdr:cNvPr>
        <xdr:cNvSpPr>
          <a:spLocks noChangeAspect="1" noChangeArrowheads="1"/>
        </xdr:cNvSpPr>
      </xdr:nvSpPr>
      <xdr:spPr bwMode="auto">
        <a:xfrm>
          <a:off x="609600" y="146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9</xdr:row>
      <xdr:rowOff>0</xdr:rowOff>
    </xdr:from>
    <xdr:ext cx="304800" cy="304800"/>
    <xdr:sp macro="" textlink="">
      <xdr:nvSpPr>
        <xdr:cNvPr id="10" name="AutoShape 9" descr="New Orleans Pelicans Logo">
          <a:hlinkClick xmlns:r="http://schemas.openxmlformats.org/officeDocument/2006/relationships" r:id="rId9"/>
          <a:extLst>
            <a:ext uri="{FF2B5EF4-FFF2-40B4-BE49-F238E27FC236}">
              <a16:creationId xmlns:a16="http://schemas.microsoft.com/office/drawing/2014/main" id="{00000000-0008-0000-0700-00000A000000}"/>
            </a:ext>
          </a:extLst>
        </xdr:cNvPr>
        <xdr:cNvSpPr>
          <a:spLocks noChangeAspect="1" noChangeArrowheads="1"/>
        </xdr:cNvSpPr>
      </xdr:nvSpPr>
      <xdr:spPr bwMode="auto">
        <a:xfrm>
          <a:off x="609600" y="164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xdr:row>
      <xdr:rowOff>0</xdr:rowOff>
    </xdr:from>
    <xdr:ext cx="304800" cy="304800"/>
    <xdr:sp macro="" textlink="">
      <xdr:nvSpPr>
        <xdr:cNvPr id="11" name="AutoShape 10" descr="New York Knicks Logo">
          <a:hlinkClick xmlns:r="http://schemas.openxmlformats.org/officeDocument/2006/relationships" r:id="rId10"/>
          <a:extLst>
            <a:ext uri="{FF2B5EF4-FFF2-40B4-BE49-F238E27FC236}">
              <a16:creationId xmlns:a16="http://schemas.microsoft.com/office/drawing/2014/main" id="{00000000-0008-0000-0700-00000B000000}"/>
            </a:ext>
          </a:extLst>
        </xdr:cNvPr>
        <xdr:cNvSpPr>
          <a:spLocks noChangeAspect="1" noChangeArrowheads="1"/>
        </xdr:cNvSpPr>
      </xdr:nvSpPr>
      <xdr:spPr bwMode="auto">
        <a:xfrm>
          <a:off x="6096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xdr:row>
      <xdr:rowOff>0</xdr:rowOff>
    </xdr:from>
    <xdr:ext cx="304800" cy="304800"/>
    <xdr:sp macro="" textlink="">
      <xdr:nvSpPr>
        <xdr:cNvPr id="12" name="AutoShape 11" descr="Orlando Magic Logo">
          <a:hlinkClick xmlns:r="http://schemas.openxmlformats.org/officeDocument/2006/relationships" r:id="rId11"/>
          <a:extLst>
            <a:ext uri="{FF2B5EF4-FFF2-40B4-BE49-F238E27FC236}">
              <a16:creationId xmlns:a16="http://schemas.microsoft.com/office/drawing/2014/main" id="{00000000-0008-0000-0700-00000C000000}"/>
            </a:ext>
          </a:extLst>
        </xdr:cNvPr>
        <xdr:cNvSpPr>
          <a:spLocks noChangeAspect="1" noChangeArrowheads="1"/>
        </xdr:cNvSpPr>
      </xdr:nvSpPr>
      <xdr:spPr bwMode="auto">
        <a:xfrm>
          <a:off x="609600" y="20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12</xdr:row>
      <xdr:rowOff>0</xdr:rowOff>
    </xdr:from>
    <xdr:ext cx="304800" cy="304800"/>
    <xdr:sp macro="" textlink="">
      <xdr:nvSpPr>
        <xdr:cNvPr id="13" name="AutoShape 12" descr="Phoenix Suns Logo">
          <a:hlinkClick xmlns:r="http://schemas.openxmlformats.org/officeDocument/2006/relationships" r:id="rId12"/>
          <a:extLst>
            <a:ext uri="{FF2B5EF4-FFF2-40B4-BE49-F238E27FC236}">
              <a16:creationId xmlns:a16="http://schemas.microsoft.com/office/drawing/2014/main" id="{00000000-0008-0000-0700-00000D000000}"/>
            </a:ext>
          </a:extLst>
        </xdr:cNvPr>
        <xdr:cNvSpPr>
          <a:spLocks noChangeAspect="1" noChangeArrowheads="1"/>
        </xdr:cNvSpPr>
      </xdr:nvSpPr>
      <xdr:spPr bwMode="auto">
        <a:xfrm>
          <a:off x="609600" y="219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13</xdr:row>
      <xdr:rowOff>0</xdr:rowOff>
    </xdr:from>
    <xdr:ext cx="304800" cy="304800"/>
    <xdr:sp macro="" textlink="">
      <xdr:nvSpPr>
        <xdr:cNvPr id="14" name="AutoShape 13" descr="Sacramento Kings Logo">
          <a:hlinkClick xmlns:r="http://schemas.openxmlformats.org/officeDocument/2006/relationships" r:id="rId13"/>
          <a:extLst>
            <a:ext uri="{FF2B5EF4-FFF2-40B4-BE49-F238E27FC236}">
              <a16:creationId xmlns:a16="http://schemas.microsoft.com/office/drawing/2014/main" id="{00000000-0008-0000-0700-00000E000000}"/>
            </a:ext>
          </a:extLst>
        </xdr:cNvPr>
        <xdr:cNvSpPr>
          <a:spLocks noChangeAspect="1" noChangeArrowheads="1"/>
        </xdr:cNvSpPr>
      </xdr:nvSpPr>
      <xdr:spPr bwMode="auto">
        <a:xfrm>
          <a:off x="609600" y="237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xdr:row>
      <xdr:rowOff>0</xdr:rowOff>
    </xdr:from>
    <xdr:ext cx="304800" cy="304800"/>
    <xdr:sp macro="" textlink="">
      <xdr:nvSpPr>
        <xdr:cNvPr id="15" name="AutoShape 14" descr="Indiana Pacers Logo">
          <a:hlinkClick xmlns:r="http://schemas.openxmlformats.org/officeDocument/2006/relationships" r:id="rId14"/>
          <a:extLst>
            <a:ext uri="{FF2B5EF4-FFF2-40B4-BE49-F238E27FC236}">
              <a16:creationId xmlns:a16="http://schemas.microsoft.com/office/drawing/2014/main" id="{00000000-0008-0000-0700-00000F000000}"/>
            </a:ext>
          </a:extLst>
        </xdr:cNvPr>
        <xdr:cNvSpPr>
          <a:spLocks noChangeAspect="1" noChangeArrowheads="1"/>
        </xdr:cNvSpPr>
      </xdr:nvSpPr>
      <xdr:spPr bwMode="auto">
        <a:xfrm>
          <a:off x="609600" y="256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xdr:row>
      <xdr:rowOff>0</xdr:rowOff>
    </xdr:from>
    <xdr:ext cx="304800" cy="304799"/>
    <xdr:sp macro="" textlink="">
      <xdr:nvSpPr>
        <xdr:cNvPr id="16" name="AutoShape 15" descr="Los Angeles Lakers Logo">
          <a:hlinkClick xmlns:r="http://schemas.openxmlformats.org/officeDocument/2006/relationships" r:id="rId15"/>
          <a:extLst>
            <a:ext uri="{FF2B5EF4-FFF2-40B4-BE49-F238E27FC236}">
              <a16:creationId xmlns:a16="http://schemas.microsoft.com/office/drawing/2014/main" id="{00000000-0008-0000-0700-000010000000}"/>
            </a:ext>
          </a:extLst>
        </xdr:cNvPr>
        <xdr:cNvSpPr>
          <a:spLocks noChangeAspect="1" noChangeArrowheads="1"/>
        </xdr:cNvSpPr>
      </xdr:nvSpPr>
      <xdr:spPr bwMode="auto">
        <a:xfrm>
          <a:off x="609600" y="27432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16</xdr:row>
      <xdr:rowOff>0</xdr:rowOff>
    </xdr:from>
    <xdr:ext cx="304800" cy="304800"/>
    <xdr:sp macro="" textlink="">
      <xdr:nvSpPr>
        <xdr:cNvPr id="17" name="AutoShape 16" descr="Miami Heat Logo">
          <a:hlinkClick xmlns:r="http://schemas.openxmlformats.org/officeDocument/2006/relationships" r:id="rId16"/>
          <a:extLst>
            <a:ext uri="{FF2B5EF4-FFF2-40B4-BE49-F238E27FC236}">
              <a16:creationId xmlns:a16="http://schemas.microsoft.com/office/drawing/2014/main" id="{00000000-0008-0000-0700-000011000000}"/>
            </a:ext>
          </a:extLst>
        </xdr:cNvPr>
        <xdr:cNvSpPr>
          <a:spLocks noChangeAspect="1" noChangeArrowheads="1"/>
        </xdr:cNvSpPr>
      </xdr:nvSpPr>
      <xdr:spPr bwMode="auto">
        <a:xfrm>
          <a:off x="609600" y="29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17</xdr:row>
      <xdr:rowOff>0</xdr:rowOff>
    </xdr:from>
    <xdr:ext cx="304800" cy="304801"/>
    <xdr:sp macro="" textlink="">
      <xdr:nvSpPr>
        <xdr:cNvPr id="18" name="AutoShape 17" descr="Golden State Warriors Logo">
          <a:hlinkClick xmlns:r="http://schemas.openxmlformats.org/officeDocument/2006/relationships" r:id="rId17"/>
          <a:extLst>
            <a:ext uri="{FF2B5EF4-FFF2-40B4-BE49-F238E27FC236}">
              <a16:creationId xmlns:a16="http://schemas.microsoft.com/office/drawing/2014/main" id="{00000000-0008-0000-0700-000012000000}"/>
            </a:ext>
          </a:extLst>
        </xdr:cNvPr>
        <xdr:cNvSpPr>
          <a:spLocks noChangeAspect="1" noChangeArrowheads="1"/>
        </xdr:cNvSpPr>
      </xdr:nvSpPr>
      <xdr:spPr bwMode="auto">
        <a:xfrm>
          <a:off x="609600" y="3108960"/>
          <a:ext cx="304800" cy="30480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18</xdr:row>
      <xdr:rowOff>0</xdr:rowOff>
    </xdr:from>
    <xdr:ext cx="304800" cy="304800"/>
    <xdr:sp macro="" textlink="">
      <xdr:nvSpPr>
        <xdr:cNvPr id="19" name="AutoShape 18" descr="Philadelphia 76ers Logo">
          <a:hlinkClick xmlns:r="http://schemas.openxmlformats.org/officeDocument/2006/relationships" r:id="rId18"/>
          <a:extLst>
            <a:ext uri="{FF2B5EF4-FFF2-40B4-BE49-F238E27FC236}">
              <a16:creationId xmlns:a16="http://schemas.microsoft.com/office/drawing/2014/main" id="{00000000-0008-0000-0700-000013000000}"/>
            </a:ext>
          </a:extLst>
        </xdr:cNvPr>
        <xdr:cNvSpPr>
          <a:spLocks noChangeAspect="1" noChangeArrowheads="1"/>
        </xdr:cNvSpPr>
      </xdr:nvSpPr>
      <xdr:spPr bwMode="auto">
        <a:xfrm>
          <a:off x="609600" y="3291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4800"/>
    <xdr:sp macro="" textlink="">
      <xdr:nvSpPr>
        <xdr:cNvPr id="20" name="AutoShape 19" descr="Houston Rockets Logo">
          <a:hlinkClick xmlns:r="http://schemas.openxmlformats.org/officeDocument/2006/relationships" r:id="rId19"/>
          <a:extLst>
            <a:ext uri="{FF2B5EF4-FFF2-40B4-BE49-F238E27FC236}">
              <a16:creationId xmlns:a16="http://schemas.microsoft.com/office/drawing/2014/main" id="{00000000-0008-0000-0700-000014000000}"/>
            </a:ext>
          </a:extLst>
        </xdr:cNvPr>
        <xdr:cNvSpPr>
          <a:spLocks noChangeAspect="1" noChangeArrowheads="1"/>
        </xdr:cNvSpPr>
      </xdr:nvSpPr>
      <xdr:spPr bwMode="auto">
        <a:xfrm>
          <a:off x="609600" y="3474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20</xdr:row>
      <xdr:rowOff>0</xdr:rowOff>
    </xdr:from>
    <xdr:ext cx="304800" cy="304800"/>
    <xdr:sp macro="" textlink="">
      <xdr:nvSpPr>
        <xdr:cNvPr id="21" name="AutoShape 20" descr="Chicago Bulls Logo">
          <a:hlinkClick xmlns:r="http://schemas.openxmlformats.org/officeDocument/2006/relationships" r:id="rId20"/>
          <a:extLst>
            <a:ext uri="{FF2B5EF4-FFF2-40B4-BE49-F238E27FC236}">
              <a16:creationId xmlns:a16="http://schemas.microsoft.com/office/drawing/2014/main" id="{00000000-0008-0000-0700-000015000000}"/>
            </a:ext>
          </a:extLst>
        </xdr:cNvPr>
        <xdr:cNvSpPr>
          <a:spLocks noChangeAspect="1" noChangeArrowheads="1"/>
        </xdr:cNvSpPr>
      </xdr:nvSpPr>
      <xdr:spPr bwMode="auto">
        <a:xfrm>
          <a:off x="6096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4800"/>
    <xdr:sp macro="" textlink="">
      <xdr:nvSpPr>
        <xdr:cNvPr id="22" name="AutoShape 21" descr="Atlanta Hawks Logo">
          <a:hlinkClick xmlns:r="http://schemas.openxmlformats.org/officeDocument/2006/relationships" r:id="rId21"/>
          <a:extLst>
            <a:ext uri="{FF2B5EF4-FFF2-40B4-BE49-F238E27FC236}">
              <a16:creationId xmlns:a16="http://schemas.microsoft.com/office/drawing/2014/main" id="{00000000-0008-0000-0700-000016000000}"/>
            </a:ext>
          </a:extLst>
        </xdr:cNvPr>
        <xdr:cNvSpPr>
          <a:spLocks noChangeAspect="1" noChangeArrowheads="1"/>
        </xdr:cNvSpPr>
      </xdr:nvSpPr>
      <xdr:spPr bwMode="auto">
        <a:xfrm>
          <a:off x="609600" y="384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22</xdr:row>
      <xdr:rowOff>0</xdr:rowOff>
    </xdr:from>
    <xdr:ext cx="304800" cy="304799"/>
    <xdr:sp macro="" textlink="">
      <xdr:nvSpPr>
        <xdr:cNvPr id="23" name="AutoShape 22" descr="Utah Jazz Logo">
          <a:hlinkClick xmlns:r="http://schemas.openxmlformats.org/officeDocument/2006/relationships" r:id="rId22"/>
          <a:extLst>
            <a:ext uri="{FF2B5EF4-FFF2-40B4-BE49-F238E27FC236}">
              <a16:creationId xmlns:a16="http://schemas.microsoft.com/office/drawing/2014/main" id="{00000000-0008-0000-0700-000017000000}"/>
            </a:ext>
          </a:extLst>
        </xdr:cNvPr>
        <xdr:cNvSpPr>
          <a:spLocks noChangeAspect="1" noChangeArrowheads="1"/>
        </xdr:cNvSpPr>
      </xdr:nvSpPr>
      <xdr:spPr bwMode="auto">
        <a:xfrm>
          <a:off x="609600" y="402336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23</xdr:row>
      <xdr:rowOff>0</xdr:rowOff>
    </xdr:from>
    <xdr:ext cx="304800" cy="304800"/>
    <xdr:sp macro="" textlink="">
      <xdr:nvSpPr>
        <xdr:cNvPr id="24" name="AutoShape 23" descr="Brooklyn Nets Logo">
          <a:hlinkClick xmlns:r="http://schemas.openxmlformats.org/officeDocument/2006/relationships" r:id="rId23"/>
          <a:extLst>
            <a:ext uri="{FF2B5EF4-FFF2-40B4-BE49-F238E27FC236}">
              <a16:creationId xmlns:a16="http://schemas.microsoft.com/office/drawing/2014/main" id="{00000000-0008-0000-0700-000018000000}"/>
            </a:ext>
          </a:extLst>
        </xdr:cNvPr>
        <xdr:cNvSpPr>
          <a:spLocks noChangeAspect="1" noChangeArrowheads="1"/>
        </xdr:cNvSpPr>
      </xdr:nvSpPr>
      <xdr:spPr bwMode="auto">
        <a:xfrm>
          <a:off x="609600" y="420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24</xdr:row>
      <xdr:rowOff>0</xdr:rowOff>
    </xdr:from>
    <xdr:ext cx="304800" cy="304800"/>
    <xdr:sp macro="" textlink="">
      <xdr:nvSpPr>
        <xdr:cNvPr id="25" name="AutoShape 24" descr="Memphis Grizzlies Logo">
          <a:hlinkClick xmlns:r="http://schemas.openxmlformats.org/officeDocument/2006/relationships" r:id="rId24"/>
          <a:extLst>
            <a:ext uri="{FF2B5EF4-FFF2-40B4-BE49-F238E27FC236}">
              <a16:creationId xmlns:a16="http://schemas.microsoft.com/office/drawing/2014/main" id="{00000000-0008-0000-0700-000019000000}"/>
            </a:ext>
          </a:extLst>
        </xdr:cNvPr>
        <xdr:cNvSpPr>
          <a:spLocks noChangeAspect="1" noChangeArrowheads="1"/>
        </xdr:cNvSpPr>
      </xdr:nvSpPr>
      <xdr:spPr bwMode="auto">
        <a:xfrm>
          <a:off x="609600" y="43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25</xdr:row>
      <xdr:rowOff>0</xdr:rowOff>
    </xdr:from>
    <xdr:ext cx="304800" cy="304800"/>
    <xdr:sp macro="" textlink="">
      <xdr:nvSpPr>
        <xdr:cNvPr id="26" name="AutoShape 25" descr="Toronto Raptors Logo">
          <a:hlinkClick xmlns:r="http://schemas.openxmlformats.org/officeDocument/2006/relationships" r:id="rId25"/>
          <a:extLst>
            <a:ext uri="{FF2B5EF4-FFF2-40B4-BE49-F238E27FC236}">
              <a16:creationId xmlns:a16="http://schemas.microsoft.com/office/drawing/2014/main" id="{00000000-0008-0000-0700-00001A000000}"/>
            </a:ext>
          </a:extLst>
        </xdr:cNvPr>
        <xdr:cNvSpPr>
          <a:spLocks noChangeAspect="1" noChangeArrowheads="1"/>
        </xdr:cNvSpPr>
      </xdr:nvSpPr>
      <xdr:spPr bwMode="auto">
        <a:xfrm>
          <a:off x="609600"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26</xdr:row>
      <xdr:rowOff>0</xdr:rowOff>
    </xdr:from>
    <xdr:ext cx="304800" cy="304800"/>
    <xdr:sp macro="" textlink="">
      <xdr:nvSpPr>
        <xdr:cNvPr id="27" name="AutoShape 26" descr="Portland Trail Blazers Logo">
          <a:hlinkClick xmlns:r="http://schemas.openxmlformats.org/officeDocument/2006/relationships" r:id="rId26"/>
          <a:extLst>
            <a:ext uri="{FF2B5EF4-FFF2-40B4-BE49-F238E27FC236}">
              <a16:creationId xmlns:a16="http://schemas.microsoft.com/office/drawing/2014/main" id="{00000000-0008-0000-0700-00001B000000}"/>
            </a:ext>
          </a:extLst>
        </xdr:cNvPr>
        <xdr:cNvSpPr>
          <a:spLocks noChangeAspect="1" noChangeArrowheads="1"/>
        </xdr:cNvSpPr>
      </xdr:nvSpPr>
      <xdr:spPr bwMode="auto">
        <a:xfrm>
          <a:off x="609600" y="475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27</xdr:row>
      <xdr:rowOff>0</xdr:rowOff>
    </xdr:from>
    <xdr:ext cx="304800" cy="304801"/>
    <xdr:sp macro="" textlink="">
      <xdr:nvSpPr>
        <xdr:cNvPr id="28" name="AutoShape 27" descr="Charlotte Hornets Logo">
          <a:hlinkClick xmlns:r="http://schemas.openxmlformats.org/officeDocument/2006/relationships" r:id="rId27"/>
          <a:extLst>
            <a:ext uri="{FF2B5EF4-FFF2-40B4-BE49-F238E27FC236}">
              <a16:creationId xmlns:a16="http://schemas.microsoft.com/office/drawing/2014/main" id="{00000000-0008-0000-0700-00001C000000}"/>
            </a:ext>
          </a:extLst>
        </xdr:cNvPr>
        <xdr:cNvSpPr>
          <a:spLocks noChangeAspect="1" noChangeArrowheads="1"/>
        </xdr:cNvSpPr>
      </xdr:nvSpPr>
      <xdr:spPr bwMode="auto">
        <a:xfrm>
          <a:off x="609600" y="4937760"/>
          <a:ext cx="304800" cy="30480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28</xdr:row>
      <xdr:rowOff>0</xdr:rowOff>
    </xdr:from>
    <xdr:ext cx="304800" cy="304800"/>
    <xdr:sp macro="" textlink="">
      <xdr:nvSpPr>
        <xdr:cNvPr id="29" name="AutoShape 28" descr="San Antonio Spurs Logo">
          <a:hlinkClick xmlns:r="http://schemas.openxmlformats.org/officeDocument/2006/relationships" r:id="rId28"/>
          <a:extLst>
            <a:ext uri="{FF2B5EF4-FFF2-40B4-BE49-F238E27FC236}">
              <a16:creationId xmlns:a16="http://schemas.microsoft.com/office/drawing/2014/main" id="{00000000-0008-0000-0700-00001D000000}"/>
            </a:ext>
          </a:extLst>
        </xdr:cNvPr>
        <xdr:cNvSpPr>
          <a:spLocks noChangeAspect="1" noChangeArrowheads="1"/>
        </xdr:cNvSpPr>
      </xdr:nvSpPr>
      <xdr:spPr bwMode="auto">
        <a:xfrm>
          <a:off x="609600" y="512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xdr:row>
      <xdr:rowOff>0</xdr:rowOff>
    </xdr:from>
    <xdr:ext cx="304800" cy="304799"/>
    <xdr:sp macro="" textlink="">
      <xdr:nvSpPr>
        <xdr:cNvPr id="30" name="AutoShape 29" descr="Washington Wizards Logo">
          <a:hlinkClick xmlns:r="http://schemas.openxmlformats.org/officeDocument/2006/relationships" r:id="rId29"/>
          <a:extLst>
            <a:ext uri="{FF2B5EF4-FFF2-40B4-BE49-F238E27FC236}">
              <a16:creationId xmlns:a16="http://schemas.microsoft.com/office/drawing/2014/main" id="{00000000-0008-0000-0700-00001E000000}"/>
            </a:ext>
          </a:extLst>
        </xdr:cNvPr>
        <xdr:cNvSpPr>
          <a:spLocks noChangeAspect="1" noChangeArrowheads="1"/>
        </xdr:cNvSpPr>
      </xdr:nvSpPr>
      <xdr:spPr bwMode="auto">
        <a:xfrm>
          <a:off x="609600" y="530352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xdr:row>
      <xdr:rowOff>0</xdr:rowOff>
    </xdr:from>
    <xdr:ext cx="304800" cy="304800"/>
    <xdr:sp macro="" textlink="">
      <xdr:nvSpPr>
        <xdr:cNvPr id="31" name="AutoShape 30" descr="Detroit Pistons Logo">
          <a:hlinkClick xmlns:r="http://schemas.openxmlformats.org/officeDocument/2006/relationships" r:id="rId30"/>
          <a:extLst>
            <a:ext uri="{FF2B5EF4-FFF2-40B4-BE49-F238E27FC236}">
              <a16:creationId xmlns:a16="http://schemas.microsoft.com/office/drawing/2014/main" id="{00000000-0008-0000-0700-00001F000000}"/>
            </a:ext>
          </a:extLst>
        </xdr:cNvPr>
        <xdr:cNvSpPr>
          <a:spLocks noChangeAspect="1" noChangeArrowheads="1"/>
        </xdr:cNvSpPr>
      </xdr:nvSpPr>
      <xdr:spPr bwMode="auto">
        <a:xfrm>
          <a:off x="609600" y="5486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304800" cy="304800"/>
    <xdr:sp macro="" textlink="">
      <xdr:nvSpPr>
        <xdr:cNvPr id="2" name="AutoShape 1" descr="Boston Celtics Logo">
          <a:hlinkClick xmlns:r="http://schemas.openxmlformats.org/officeDocument/2006/relationships" r:id="rId1"/>
          <a:extLst>
            <a:ext uri="{FF2B5EF4-FFF2-40B4-BE49-F238E27FC236}">
              <a16:creationId xmlns:a16="http://schemas.microsoft.com/office/drawing/2014/main" id="{767410B4-AA69-4C09-88A3-B9A114C94B6A}"/>
            </a:ext>
          </a:extLst>
        </xdr:cNvPr>
        <xdr:cNvSpPr>
          <a:spLocks noChangeAspect="1" noChangeArrowheads="1"/>
        </xdr:cNvSpPr>
      </xdr:nvSpPr>
      <xdr:spPr bwMode="auto">
        <a:xfrm>
          <a:off x="6096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xdr:row>
      <xdr:rowOff>0</xdr:rowOff>
    </xdr:from>
    <xdr:ext cx="304800" cy="304800"/>
    <xdr:sp macro="" textlink="">
      <xdr:nvSpPr>
        <xdr:cNvPr id="3" name="AutoShape 2" descr="Oklahoma City Thunder Logo">
          <a:hlinkClick xmlns:r="http://schemas.openxmlformats.org/officeDocument/2006/relationships" r:id="rId2"/>
          <a:extLst>
            <a:ext uri="{FF2B5EF4-FFF2-40B4-BE49-F238E27FC236}">
              <a16:creationId xmlns:a16="http://schemas.microsoft.com/office/drawing/2014/main" id="{9C51F25D-3B0A-4064-8AF4-6D508C9E02B7}"/>
            </a:ext>
          </a:extLst>
        </xdr:cNvPr>
        <xdr:cNvSpPr>
          <a:spLocks noChangeAspect="1" noChangeArrowheads="1"/>
        </xdr:cNvSpPr>
      </xdr:nvSpPr>
      <xdr:spPr bwMode="auto">
        <a:xfrm>
          <a:off x="60960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xdr:row>
      <xdr:rowOff>0</xdr:rowOff>
    </xdr:from>
    <xdr:ext cx="304800" cy="304800"/>
    <xdr:sp macro="" textlink="">
      <xdr:nvSpPr>
        <xdr:cNvPr id="4" name="AutoShape 3" descr="Denver Nuggets Logo">
          <a:hlinkClick xmlns:r="http://schemas.openxmlformats.org/officeDocument/2006/relationships" r:id="rId3"/>
          <a:extLst>
            <a:ext uri="{FF2B5EF4-FFF2-40B4-BE49-F238E27FC236}">
              <a16:creationId xmlns:a16="http://schemas.microsoft.com/office/drawing/2014/main" id="{C2E40D30-9520-456C-93C0-907690C338CF}"/>
            </a:ext>
          </a:extLst>
        </xdr:cNvPr>
        <xdr:cNvSpPr>
          <a:spLocks noChangeAspect="1" noChangeArrowheads="1"/>
        </xdr:cNvSpPr>
      </xdr:nvSpPr>
      <xdr:spPr bwMode="auto">
        <a:xfrm>
          <a:off x="609600" y="5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xdr:row>
      <xdr:rowOff>0</xdr:rowOff>
    </xdr:from>
    <xdr:ext cx="304800" cy="304800"/>
    <xdr:sp macro="" textlink="">
      <xdr:nvSpPr>
        <xdr:cNvPr id="5" name="AutoShape 4" descr="Minnesota Timberwolves Logo">
          <a:hlinkClick xmlns:r="http://schemas.openxmlformats.org/officeDocument/2006/relationships" r:id="rId4"/>
          <a:extLst>
            <a:ext uri="{FF2B5EF4-FFF2-40B4-BE49-F238E27FC236}">
              <a16:creationId xmlns:a16="http://schemas.microsoft.com/office/drawing/2014/main" id="{3F108ECF-855C-458C-B0A7-EE21B96A3581}"/>
            </a:ext>
          </a:extLst>
        </xdr:cNvPr>
        <xdr:cNvSpPr>
          <a:spLocks noChangeAspect="1" noChangeArrowheads="1"/>
        </xdr:cNvSpPr>
      </xdr:nvSpPr>
      <xdr:spPr bwMode="auto">
        <a:xfrm>
          <a:off x="6096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xdr:row>
      <xdr:rowOff>0</xdr:rowOff>
    </xdr:from>
    <xdr:ext cx="304800" cy="304800"/>
    <xdr:sp macro="" textlink="">
      <xdr:nvSpPr>
        <xdr:cNvPr id="6" name="AutoShape 5" descr="LA Clippers Logo">
          <a:hlinkClick xmlns:r="http://schemas.openxmlformats.org/officeDocument/2006/relationships" r:id="rId5"/>
          <a:extLst>
            <a:ext uri="{FF2B5EF4-FFF2-40B4-BE49-F238E27FC236}">
              <a16:creationId xmlns:a16="http://schemas.microsoft.com/office/drawing/2014/main" id="{46E1F4A7-01CE-4DAA-BBE6-2284AED208FF}"/>
            </a:ext>
          </a:extLst>
        </xdr:cNvPr>
        <xdr:cNvSpPr>
          <a:spLocks noChangeAspect="1" noChangeArrowheads="1"/>
        </xdr:cNvSpPr>
      </xdr:nvSpPr>
      <xdr:spPr bwMode="auto">
        <a:xfrm>
          <a:off x="6096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6</xdr:row>
      <xdr:rowOff>0</xdr:rowOff>
    </xdr:from>
    <xdr:ext cx="304800" cy="304800"/>
    <xdr:sp macro="" textlink="">
      <xdr:nvSpPr>
        <xdr:cNvPr id="7" name="AutoShape 6" descr="Milwaukee Bucks Logo">
          <a:hlinkClick xmlns:r="http://schemas.openxmlformats.org/officeDocument/2006/relationships" r:id="rId6"/>
          <a:extLst>
            <a:ext uri="{FF2B5EF4-FFF2-40B4-BE49-F238E27FC236}">
              <a16:creationId xmlns:a16="http://schemas.microsoft.com/office/drawing/2014/main" id="{60C8FD25-9ED8-470D-9229-3084E05B33D4}"/>
            </a:ext>
          </a:extLst>
        </xdr:cNvPr>
        <xdr:cNvSpPr>
          <a:spLocks noChangeAspect="1" noChangeArrowheads="1"/>
        </xdr:cNvSpPr>
      </xdr:nvSpPr>
      <xdr:spPr bwMode="auto">
        <a:xfrm>
          <a:off x="609600"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7</xdr:row>
      <xdr:rowOff>0</xdr:rowOff>
    </xdr:from>
    <xdr:ext cx="304800" cy="304800"/>
    <xdr:sp macro="" textlink="">
      <xdr:nvSpPr>
        <xdr:cNvPr id="8" name="AutoShape 7" descr="Dallas Mavericks Logo">
          <a:hlinkClick xmlns:r="http://schemas.openxmlformats.org/officeDocument/2006/relationships" r:id="rId7"/>
          <a:extLst>
            <a:ext uri="{FF2B5EF4-FFF2-40B4-BE49-F238E27FC236}">
              <a16:creationId xmlns:a16="http://schemas.microsoft.com/office/drawing/2014/main" id="{99E32A3E-3331-470B-A281-62FD2206FAAF}"/>
            </a:ext>
          </a:extLst>
        </xdr:cNvPr>
        <xdr:cNvSpPr>
          <a:spLocks noChangeAspect="1" noChangeArrowheads="1"/>
        </xdr:cNvSpPr>
      </xdr:nvSpPr>
      <xdr:spPr bwMode="auto">
        <a:xfrm>
          <a:off x="6096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8</xdr:row>
      <xdr:rowOff>0</xdr:rowOff>
    </xdr:from>
    <xdr:ext cx="304800" cy="304800"/>
    <xdr:sp macro="" textlink="">
      <xdr:nvSpPr>
        <xdr:cNvPr id="9" name="AutoShape 8" descr="Cleveland Cavaliers Logo">
          <a:hlinkClick xmlns:r="http://schemas.openxmlformats.org/officeDocument/2006/relationships" r:id="rId8"/>
          <a:extLst>
            <a:ext uri="{FF2B5EF4-FFF2-40B4-BE49-F238E27FC236}">
              <a16:creationId xmlns:a16="http://schemas.microsoft.com/office/drawing/2014/main" id="{365DA82A-C70A-42AA-BFB5-8DBCD9F41A69}"/>
            </a:ext>
          </a:extLst>
        </xdr:cNvPr>
        <xdr:cNvSpPr>
          <a:spLocks noChangeAspect="1" noChangeArrowheads="1"/>
        </xdr:cNvSpPr>
      </xdr:nvSpPr>
      <xdr:spPr bwMode="auto">
        <a:xfrm>
          <a:off x="609600"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9</xdr:row>
      <xdr:rowOff>0</xdr:rowOff>
    </xdr:from>
    <xdr:ext cx="304800" cy="304800"/>
    <xdr:sp macro="" textlink="">
      <xdr:nvSpPr>
        <xdr:cNvPr id="10" name="AutoShape 9" descr="New Orleans Pelicans Logo">
          <a:hlinkClick xmlns:r="http://schemas.openxmlformats.org/officeDocument/2006/relationships" r:id="rId9"/>
          <a:extLst>
            <a:ext uri="{FF2B5EF4-FFF2-40B4-BE49-F238E27FC236}">
              <a16:creationId xmlns:a16="http://schemas.microsoft.com/office/drawing/2014/main" id="{8BC7751B-5725-4495-9F6C-0AAB20D7C5AC}"/>
            </a:ext>
          </a:extLst>
        </xdr:cNvPr>
        <xdr:cNvSpPr>
          <a:spLocks noChangeAspect="1" noChangeArrowheads="1"/>
        </xdr:cNvSpPr>
      </xdr:nvSpPr>
      <xdr:spPr bwMode="auto">
        <a:xfrm>
          <a:off x="609600"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xdr:row>
      <xdr:rowOff>0</xdr:rowOff>
    </xdr:from>
    <xdr:ext cx="304800" cy="304800"/>
    <xdr:sp macro="" textlink="">
      <xdr:nvSpPr>
        <xdr:cNvPr id="11" name="AutoShape 10" descr="New York Knicks Logo">
          <a:hlinkClick xmlns:r="http://schemas.openxmlformats.org/officeDocument/2006/relationships" r:id="rId10"/>
          <a:extLst>
            <a:ext uri="{FF2B5EF4-FFF2-40B4-BE49-F238E27FC236}">
              <a16:creationId xmlns:a16="http://schemas.microsoft.com/office/drawing/2014/main" id="{789C8D6F-3EDC-4DCF-B851-4B0DDFE7A027}"/>
            </a:ext>
          </a:extLst>
        </xdr:cNvPr>
        <xdr:cNvSpPr>
          <a:spLocks noChangeAspect="1" noChangeArrowheads="1"/>
        </xdr:cNvSpPr>
      </xdr:nvSpPr>
      <xdr:spPr bwMode="auto">
        <a:xfrm>
          <a:off x="6096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xdr:row>
      <xdr:rowOff>0</xdr:rowOff>
    </xdr:from>
    <xdr:ext cx="304800" cy="304800"/>
    <xdr:sp macro="" textlink="">
      <xdr:nvSpPr>
        <xdr:cNvPr id="12" name="AutoShape 11" descr="Orlando Magic Logo">
          <a:hlinkClick xmlns:r="http://schemas.openxmlformats.org/officeDocument/2006/relationships" r:id="rId11"/>
          <a:extLst>
            <a:ext uri="{FF2B5EF4-FFF2-40B4-BE49-F238E27FC236}">
              <a16:creationId xmlns:a16="http://schemas.microsoft.com/office/drawing/2014/main" id="{F8E1AA68-7F63-4F45-8738-60DAB983246A}"/>
            </a:ext>
          </a:extLst>
        </xdr:cNvPr>
        <xdr:cNvSpPr>
          <a:spLocks noChangeAspect="1" noChangeArrowheads="1"/>
        </xdr:cNvSpPr>
      </xdr:nvSpPr>
      <xdr:spPr bwMode="auto">
        <a:xfrm>
          <a:off x="6096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12</xdr:row>
      <xdr:rowOff>0</xdr:rowOff>
    </xdr:from>
    <xdr:ext cx="304800" cy="304800"/>
    <xdr:sp macro="" textlink="">
      <xdr:nvSpPr>
        <xdr:cNvPr id="13" name="AutoShape 12" descr="Phoenix Suns Logo">
          <a:hlinkClick xmlns:r="http://schemas.openxmlformats.org/officeDocument/2006/relationships" r:id="rId12"/>
          <a:extLst>
            <a:ext uri="{FF2B5EF4-FFF2-40B4-BE49-F238E27FC236}">
              <a16:creationId xmlns:a16="http://schemas.microsoft.com/office/drawing/2014/main" id="{AB0BDFBA-6414-4072-A5C4-8A682184B711}"/>
            </a:ext>
          </a:extLst>
        </xdr:cNvPr>
        <xdr:cNvSpPr>
          <a:spLocks noChangeAspect="1" noChangeArrowheads="1"/>
        </xdr:cNvSpPr>
      </xdr:nvSpPr>
      <xdr:spPr bwMode="auto">
        <a:xfrm>
          <a:off x="609600"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13</xdr:row>
      <xdr:rowOff>0</xdr:rowOff>
    </xdr:from>
    <xdr:ext cx="304800" cy="304800"/>
    <xdr:sp macro="" textlink="">
      <xdr:nvSpPr>
        <xdr:cNvPr id="14" name="AutoShape 13" descr="Sacramento Kings Logo">
          <a:hlinkClick xmlns:r="http://schemas.openxmlformats.org/officeDocument/2006/relationships" r:id="rId13"/>
          <a:extLst>
            <a:ext uri="{FF2B5EF4-FFF2-40B4-BE49-F238E27FC236}">
              <a16:creationId xmlns:a16="http://schemas.microsoft.com/office/drawing/2014/main" id="{2EEF8FB4-6F48-42E1-83E2-A6B7FA61D18A}"/>
            </a:ext>
          </a:extLst>
        </xdr:cNvPr>
        <xdr:cNvSpPr>
          <a:spLocks noChangeAspect="1" noChangeArrowheads="1"/>
        </xdr:cNvSpPr>
      </xdr:nvSpPr>
      <xdr:spPr bwMode="auto">
        <a:xfrm>
          <a:off x="6096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xdr:row>
      <xdr:rowOff>0</xdr:rowOff>
    </xdr:from>
    <xdr:ext cx="304800" cy="304800"/>
    <xdr:sp macro="" textlink="">
      <xdr:nvSpPr>
        <xdr:cNvPr id="15" name="AutoShape 14" descr="Indiana Pacers Logo">
          <a:hlinkClick xmlns:r="http://schemas.openxmlformats.org/officeDocument/2006/relationships" r:id="rId14"/>
          <a:extLst>
            <a:ext uri="{FF2B5EF4-FFF2-40B4-BE49-F238E27FC236}">
              <a16:creationId xmlns:a16="http://schemas.microsoft.com/office/drawing/2014/main" id="{13C38C05-2C4B-4FAF-93DB-4C02E8D64A9F}"/>
            </a:ext>
          </a:extLst>
        </xdr:cNvPr>
        <xdr:cNvSpPr>
          <a:spLocks noChangeAspect="1" noChangeArrowheads="1"/>
        </xdr:cNvSpPr>
      </xdr:nvSpPr>
      <xdr:spPr bwMode="auto">
        <a:xfrm>
          <a:off x="609600"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xdr:row>
      <xdr:rowOff>0</xdr:rowOff>
    </xdr:from>
    <xdr:ext cx="304800" cy="304799"/>
    <xdr:sp macro="" textlink="">
      <xdr:nvSpPr>
        <xdr:cNvPr id="16" name="AutoShape 15" descr="Los Angeles Lakers Logo">
          <a:hlinkClick xmlns:r="http://schemas.openxmlformats.org/officeDocument/2006/relationships" r:id="rId15"/>
          <a:extLst>
            <a:ext uri="{FF2B5EF4-FFF2-40B4-BE49-F238E27FC236}">
              <a16:creationId xmlns:a16="http://schemas.microsoft.com/office/drawing/2014/main" id="{346BA375-95B9-458A-88FB-5F2B187E7408}"/>
            </a:ext>
          </a:extLst>
        </xdr:cNvPr>
        <xdr:cNvSpPr>
          <a:spLocks noChangeAspect="1" noChangeArrowheads="1"/>
        </xdr:cNvSpPr>
      </xdr:nvSpPr>
      <xdr:spPr bwMode="auto">
        <a:xfrm>
          <a:off x="609600" y="28575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16</xdr:row>
      <xdr:rowOff>0</xdr:rowOff>
    </xdr:from>
    <xdr:ext cx="304800" cy="304800"/>
    <xdr:sp macro="" textlink="">
      <xdr:nvSpPr>
        <xdr:cNvPr id="17" name="AutoShape 16" descr="Miami Heat Logo">
          <a:hlinkClick xmlns:r="http://schemas.openxmlformats.org/officeDocument/2006/relationships" r:id="rId16"/>
          <a:extLst>
            <a:ext uri="{FF2B5EF4-FFF2-40B4-BE49-F238E27FC236}">
              <a16:creationId xmlns:a16="http://schemas.microsoft.com/office/drawing/2014/main" id="{BC21F181-89D6-44BA-8ED2-411D07A94ABE}"/>
            </a:ext>
          </a:extLst>
        </xdr:cNvPr>
        <xdr:cNvSpPr>
          <a:spLocks noChangeAspect="1" noChangeArrowheads="1"/>
        </xdr:cNvSpPr>
      </xdr:nvSpPr>
      <xdr:spPr bwMode="auto">
        <a:xfrm>
          <a:off x="6096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17</xdr:row>
      <xdr:rowOff>0</xdr:rowOff>
    </xdr:from>
    <xdr:ext cx="304800" cy="304801"/>
    <xdr:sp macro="" textlink="">
      <xdr:nvSpPr>
        <xdr:cNvPr id="18" name="AutoShape 17" descr="Golden State Warriors Logo">
          <a:hlinkClick xmlns:r="http://schemas.openxmlformats.org/officeDocument/2006/relationships" r:id="rId17"/>
          <a:extLst>
            <a:ext uri="{FF2B5EF4-FFF2-40B4-BE49-F238E27FC236}">
              <a16:creationId xmlns:a16="http://schemas.microsoft.com/office/drawing/2014/main" id="{09EC7A4B-8D89-403F-A19B-1F9B57B4AE4E}"/>
            </a:ext>
          </a:extLst>
        </xdr:cNvPr>
        <xdr:cNvSpPr>
          <a:spLocks noChangeAspect="1" noChangeArrowheads="1"/>
        </xdr:cNvSpPr>
      </xdr:nvSpPr>
      <xdr:spPr bwMode="auto">
        <a:xfrm>
          <a:off x="609600" y="3238500"/>
          <a:ext cx="304800" cy="30480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18</xdr:row>
      <xdr:rowOff>0</xdr:rowOff>
    </xdr:from>
    <xdr:ext cx="304800" cy="304800"/>
    <xdr:sp macro="" textlink="">
      <xdr:nvSpPr>
        <xdr:cNvPr id="19" name="AutoShape 18" descr="Philadelphia 76ers Logo">
          <a:hlinkClick xmlns:r="http://schemas.openxmlformats.org/officeDocument/2006/relationships" r:id="rId18"/>
          <a:extLst>
            <a:ext uri="{FF2B5EF4-FFF2-40B4-BE49-F238E27FC236}">
              <a16:creationId xmlns:a16="http://schemas.microsoft.com/office/drawing/2014/main" id="{964B6D16-85F8-4DAA-8F52-4FB6681C5119}"/>
            </a:ext>
          </a:extLst>
        </xdr:cNvPr>
        <xdr:cNvSpPr>
          <a:spLocks noChangeAspect="1" noChangeArrowheads="1"/>
        </xdr:cNvSpPr>
      </xdr:nvSpPr>
      <xdr:spPr bwMode="auto">
        <a:xfrm>
          <a:off x="6096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4800"/>
    <xdr:sp macro="" textlink="">
      <xdr:nvSpPr>
        <xdr:cNvPr id="20" name="AutoShape 19" descr="Houston Rockets Logo">
          <a:hlinkClick xmlns:r="http://schemas.openxmlformats.org/officeDocument/2006/relationships" r:id="rId19"/>
          <a:extLst>
            <a:ext uri="{FF2B5EF4-FFF2-40B4-BE49-F238E27FC236}">
              <a16:creationId xmlns:a16="http://schemas.microsoft.com/office/drawing/2014/main" id="{1975B5A9-6AF1-4D5B-91D2-B187AF6A76F6}"/>
            </a:ext>
          </a:extLst>
        </xdr:cNvPr>
        <xdr:cNvSpPr>
          <a:spLocks noChangeAspect="1" noChangeArrowheads="1"/>
        </xdr:cNvSpPr>
      </xdr:nvSpPr>
      <xdr:spPr bwMode="auto">
        <a:xfrm>
          <a:off x="6096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20</xdr:row>
      <xdr:rowOff>0</xdr:rowOff>
    </xdr:from>
    <xdr:ext cx="304800" cy="304800"/>
    <xdr:sp macro="" textlink="">
      <xdr:nvSpPr>
        <xdr:cNvPr id="21" name="AutoShape 20" descr="Chicago Bulls Logo">
          <a:hlinkClick xmlns:r="http://schemas.openxmlformats.org/officeDocument/2006/relationships" r:id="rId20"/>
          <a:extLst>
            <a:ext uri="{FF2B5EF4-FFF2-40B4-BE49-F238E27FC236}">
              <a16:creationId xmlns:a16="http://schemas.microsoft.com/office/drawing/2014/main" id="{91EC0BA8-D718-45EE-81F6-9C23782A7F19}"/>
            </a:ext>
          </a:extLst>
        </xdr:cNvPr>
        <xdr:cNvSpPr>
          <a:spLocks noChangeAspect="1" noChangeArrowheads="1"/>
        </xdr:cNvSpPr>
      </xdr:nvSpPr>
      <xdr:spPr bwMode="auto">
        <a:xfrm>
          <a:off x="6096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4800"/>
    <xdr:sp macro="" textlink="">
      <xdr:nvSpPr>
        <xdr:cNvPr id="22" name="AutoShape 21" descr="Atlanta Hawks Logo">
          <a:hlinkClick xmlns:r="http://schemas.openxmlformats.org/officeDocument/2006/relationships" r:id="rId21"/>
          <a:extLst>
            <a:ext uri="{FF2B5EF4-FFF2-40B4-BE49-F238E27FC236}">
              <a16:creationId xmlns:a16="http://schemas.microsoft.com/office/drawing/2014/main" id="{B3020D28-4662-43B7-A320-18F67D86CF83}"/>
            </a:ext>
          </a:extLst>
        </xdr:cNvPr>
        <xdr:cNvSpPr>
          <a:spLocks noChangeAspect="1" noChangeArrowheads="1"/>
        </xdr:cNvSpPr>
      </xdr:nvSpPr>
      <xdr:spPr bwMode="auto">
        <a:xfrm>
          <a:off x="60960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22</xdr:row>
      <xdr:rowOff>0</xdr:rowOff>
    </xdr:from>
    <xdr:ext cx="304800" cy="304799"/>
    <xdr:sp macro="" textlink="">
      <xdr:nvSpPr>
        <xdr:cNvPr id="23" name="AutoShape 22" descr="Utah Jazz Logo">
          <a:hlinkClick xmlns:r="http://schemas.openxmlformats.org/officeDocument/2006/relationships" r:id="rId22"/>
          <a:extLst>
            <a:ext uri="{FF2B5EF4-FFF2-40B4-BE49-F238E27FC236}">
              <a16:creationId xmlns:a16="http://schemas.microsoft.com/office/drawing/2014/main" id="{400601D7-29F1-4419-9215-0C793CCBBCEF}"/>
            </a:ext>
          </a:extLst>
        </xdr:cNvPr>
        <xdr:cNvSpPr>
          <a:spLocks noChangeAspect="1" noChangeArrowheads="1"/>
        </xdr:cNvSpPr>
      </xdr:nvSpPr>
      <xdr:spPr bwMode="auto">
        <a:xfrm>
          <a:off x="609600" y="41910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23</xdr:row>
      <xdr:rowOff>0</xdr:rowOff>
    </xdr:from>
    <xdr:ext cx="304800" cy="304800"/>
    <xdr:sp macro="" textlink="">
      <xdr:nvSpPr>
        <xdr:cNvPr id="24" name="AutoShape 23" descr="Brooklyn Nets Logo">
          <a:hlinkClick xmlns:r="http://schemas.openxmlformats.org/officeDocument/2006/relationships" r:id="rId23"/>
          <a:extLst>
            <a:ext uri="{FF2B5EF4-FFF2-40B4-BE49-F238E27FC236}">
              <a16:creationId xmlns:a16="http://schemas.microsoft.com/office/drawing/2014/main" id="{0B7E1EF8-D1C5-4120-A420-30EE580C966E}"/>
            </a:ext>
          </a:extLst>
        </xdr:cNvPr>
        <xdr:cNvSpPr>
          <a:spLocks noChangeAspect="1" noChangeArrowheads="1"/>
        </xdr:cNvSpPr>
      </xdr:nvSpPr>
      <xdr:spPr bwMode="auto">
        <a:xfrm>
          <a:off x="6096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24</xdr:row>
      <xdr:rowOff>0</xdr:rowOff>
    </xdr:from>
    <xdr:ext cx="304800" cy="304800"/>
    <xdr:sp macro="" textlink="">
      <xdr:nvSpPr>
        <xdr:cNvPr id="25" name="AutoShape 24" descr="Memphis Grizzlies Logo">
          <a:hlinkClick xmlns:r="http://schemas.openxmlformats.org/officeDocument/2006/relationships" r:id="rId24"/>
          <a:extLst>
            <a:ext uri="{FF2B5EF4-FFF2-40B4-BE49-F238E27FC236}">
              <a16:creationId xmlns:a16="http://schemas.microsoft.com/office/drawing/2014/main" id="{3C366E1C-D721-4322-B886-08D5F67CCAD4}"/>
            </a:ext>
          </a:extLst>
        </xdr:cNvPr>
        <xdr:cNvSpPr>
          <a:spLocks noChangeAspect="1" noChangeArrowheads="1"/>
        </xdr:cNvSpPr>
      </xdr:nvSpPr>
      <xdr:spPr bwMode="auto">
        <a:xfrm>
          <a:off x="609600"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25</xdr:row>
      <xdr:rowOff>0</xdr:rowOff>
    </xdr:from>
    <xdr:ext cx="304800" cy="304800"/>
    <xdr:sp macro="" textlink="">
      <xdr:nvSpPr>
        <xdr:cNvPr id="26" name="AutoShape 25" descr="Toronto Raptors Logo">
          <a:hlinkClick xmlns:r="http://schemas.openxmlformats.org/officeDocument/2006/relationships" r:id="rId25"/>
          <a:extLst>
            <a:ext uri="{FF2B5EF4-FFF2-40B4-BE49-F238E27FC236}">
              <a16:creationId xmlns:a16="http://schemas.microsoft.com/office/drawing/2014/main" id="{823A8389-A43C-4031-87D5-749986D36912}"/>
            </a:ext>
          </a:extLst>
        </xdr:cNvPr>
        <xdr:cNvSpPr>
          <a:spLocks noChangeAspect="1" noChangeArrowheads="1"/>
        </xdr:cNvSpPr>
      </xdr:nvSpPr>
      <xdr:spPr bwMode="auto">
        <a:xfrm>
          <a:off x="609600" y="47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26</xdr:row>
      <xdr:rowOff>0</xdr:rowOff>
    </xdr:from>
    <xdr:ext cx="304800" cy="304800"/>
    <xdr:sp macro="" textlink="">
      <xdr:nvSpPr>
        <xdr:cNvPr id="27" name="AutoShape 26" descr="Portland Trail Blazers Logo">
          <a:hlinkClick xmlns:r="http://schemas.openxmlformats.org/officeDocument/2006/relationships" r:id="rId26"/>
          <a:extLst>
            <a:ext uri="{FF2B5EF4-FFF2-40B4-BE49-F238E27FC236}">
              <a16:creationId xmlns:a16="http://schemas.microsoft.com/office/drawing/2014/main" id="{B163885D-D6E5-4F1E-8657-0B3FDA0CAC84}"/>
            </a:ext>
          </a:extLst>
        </xdr:cNvPr>
        <xdr:cNvSpPr>
          <a:spLocks noChangeAspect="1" noChangeArrowheads="1"/>
        </xdr:cNvSpPr>
      </xdr:nvSpPr>
      <xdr:spPr bwMode="auto">
        <a:xfrm>
          <a:off x="609600"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27</xdr:row>
      <xdr:rowOff>0</xdr:rowOff>
    </xdr:from>
    <xdr:ext cx="304800" cy="304801"/>
    <xdr:sp macro="" textlink="">
      <xdr:nvSpPr>
        <xdr:cNvPr id="28" name="AutoShape 27" descr="Charlotte Hornets Logo">
          <a:hlinkClick xmlns:r="http://schemas.openxmlformats.org/officeDocument/2006/relationships" r:id="rId27"/>
          <a:extLst>
            <a:ext uri="{FF2B5EF4-FFF2-40B4-BE49-F238E27FC236}">
              <a16:creationId xmlns:a16="http://schemas.microsoft.com/office/drawing/2014/main" id="{974CC6B2-A0F0-4BEA-BAC1-0A5F3EA37427}"/>
            </a:ext>
          </a:extLst>
        </xdr:cNvPr>
        <xdr:cNvSpPr>
          <a:spLocks noChangeAspect="1" noChangeArrowheads="1"/>
        </xdr:cNvSpPr>
      </xdr:nvSpPr>
      <xdr:spPr bwMode="auto">
        <a:xfrm>
          <a:off x="609600" y="5143500"/>
          <a:ext cx="304800" cy="30480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28</xdr:row>
      <xdr:rowOff>0</xdr:rowOff>
    </xdr:from>
    <xdr:ext cx="304800" cy="304800"/>
    <xdr:sp macro="" textlink="">
      <xdr:nvSpPr>
        <xdr:cNvPr id="29" name="AutoShape 28" descr="San Antonio Spurs Logo">
          <a:hlinkClick xmlns:r="http://schemas.openxmlformats.org/officeDocument/2006/relationships" r:id="rId28"/>
          <a:extLst>
            <a:ext uri="{FF2B5EF4-FFF2-40B4-BE49-F238E27FC236}">
              <a16:creationId xmlns:a16="http://schemas.microsoft.com/office/drawing/2014/main" id="{7D08640C-B72A-4EED-8003-75E57C12074D}"/>
            </a:ext>
          </a:extLst>
        </xdr:cNvPr>
        <xdr:cNvSpPr>
          <a:spLocks noChangeAspect="1" noChangeArrowheads="1"/>
        </xdr:cNvSpPr>
      </xdr:nvSpPr>
      <xdr:spPr bwMode="auto">
        <a:xfrm>
          <a:off x="609600"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xdr:row>
      <xdr:rowOff>0</xdr:rowOff>
    </xdr:from>
    <xdr:ext cx="304800" cy="304799"/>
    <xdr:sp macro="" textlink="">
      <xdr:nvSpPr>
        <xdr:cNvPr id="30" name="AutoShape 29" descr="Washington Wizards Logo">
          <a:hlinkClick xmlns:r="http://schemas.openxmlformats.org/officeDocument/2006/relationships" r:id="rId29"/>
          <a:extLst>
            <a:ext uri="{FF2B5EF4-FFF2-40B4-BE49-F238E27FC236}">
              <a16:creationId xmlns:a16="http://schemas.microsoft.com/office/drawing/2014/main" id="{273B7E96-4BFD-4DCC-A04F-4E7498FFCEA0}"/>
            </a:ext>
          </a:extLst>
        </xdr:cNvPr>
        <xdr:cNvSpPr>
          <a:spLocks noChangeAspect="1" noChangeArrowheads="1"/>
        </xdr:cNvSpPr>
      </xdr:nvSpPr>
      <xdr:spPr bwMode="auto">
        <a:xfrm>
          <a:off x="609600" y="55245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xdr:row>
      <xdr:rowOff>0</xdr:rowOff>
    </xdr:from>
    <xdr:ext cx="304800" cy="304800"/>
    <xdr:sp macro="" textlink="">
      <xdr:nvSpPr>
        <xdr:cNvPr id="31" name="AutoShape 30" descr="Detroit Pistons Logo">
          <a:hlinkClick xmlns:r="http://schemas.openxmlformats.org/officeDocument/2006/relationships" r:id="rId30"/>
          <a:extLst>
            <a:ext uri="{FF2B5EF4-FFF2-40B4-BE49-F238E27FC236}">
              <a16:creationId xmlns:a16="http://schemas.microsoft.com/office/drawing/2014/main" id="{1D813C8A-492A-4F41-9F6D-9CC8BC32B607}"/>
            </a:ext>
          </a:extLst>
        </xdr:cNvPr>
        <xdr:cNvSpPr>
          <a:spLocks noChangeAspect="1" noChangeArrowheads="1"/>
        </xdr:cNvSpPr>
      </xdr:nvSpPr>
      <xdr:spPr bwMode="auto">
        <a:xfrm>
          <a:off x="6096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0</xdr:colOff>
      <xdr:row>0</xdr:row>
      <xdr:rowOff>0</xdr:rowOff>
    </xdr:from>
    <xdr:ext cx="304800" cy="304800"/>
    <xdr:sp macro="" textlink="">
      <xdr:nvSpPr>
        <xdr:cNvPr id="2" name="AutoShape 1" descr="Boston Celtics Logo">
          <a:hlinkClick xmlns:r="http://schemas.openxmlformats.org/officeDocument/2006/relationships" r:id="rId1"/>
          <a:extLst>
            <a:ext uri="{FF2B5EF4-FFF2-40B4-BE49-F238E27FC236}">
              <a16:creationId xmlns:a16="http://schemas.microsoft.com/office/drawing/2014/main" id="{6D545FAD-4560-4CDA-AF1B-EAE8C9F2AB76}"/>
            </a:ext>
          </a:extLst>
        </xdr:cNvPr>
        <xdr:cNvSpPr>
          <a:spLocks noChangeAspect="1" noChangeArrowheads="1"/>
        </xdr:cNvSpPr>
      </xdr:nvSpPr>
      <xdr:spPr bwMode="auto">
        <a:xfrm>
          <a:off x="6096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xdr:row>
      <xdr:rowOff>0</xdr:rowOff>
    </xdr:from>
    <xdr:ext cx="304800" cy="304800"/>
    <xdr:sp macro="" textlink="">
      <xdr:nvSpPr>
        <xdr:cNvPr id="3" name="AutoShape 2" descr="Oklahoma City Thunder Logo">
          <a:hlinkClick xmlns:r="http://schemas.openxmlformats.org/officeDocument/2006/relationships" r:id="rId2"/>
          <a:extLst>
            <a:ext uri="{FF2B5EF4-FFF2-40B4-BE49-F238E27FC236}">
              <a16:creationId xmlns:a16="http://schemas.microsoft.com/office/drawing/2014/main" id="{BA81A501-C06C-4B1F-AA40-DF420BCCF8D1}"/>
            </a:ext>
          </a:extLst>
        </xdr:cNvPr>
        <xdr:cNvSpPr>
          <a:spLocks noChangeAspect="1" noChangeArrowheads="1"/>
        </xdr:cNvSpPr>
      </xdr:nvSpPr>
      <xdr:spPr bwMode="auto">
        <a:xfrm>
          <a:off x="60960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xdr:row>
      <xdr:rowOff>0</xdr:rowOff>
    </xdr:from>
    <xdr:ext cx="304800" cy="304800"/>
    <xdr:sp macro="" textlink="">
      <xdr:nvSpPr>
        <xdr:cNvPr id="4" name="AutoShape 3" descr="Denver Nuggets Logo">
          <a:hlinkClick xmlns:r="http://schemas.openxmlformats.org/officeDocument/2006/relationships" r:id="rId3"/>
          <a:extLst>
            <a:ext uri="{FF2B5EF4-FFF2-40B4-BE49-F238E27FC236}">
              <a16:creationId xmlns:a16="http://schemas.microsoft.com/office/drawing/2014/main" id="{9F972139-5CE3-4834-A958-1C8E98380746}"/>
            </a:ext>
          </a:extLst>
        </xdr:cNvPr>
        <xdr:cNvSpPr>
          <a:spLocks noChangeAspect="1" noChangeArrowheads="1"/>
        </xdr:cNvSpPr>
      </xdr:nvSpPr>
      <xdr:spPr bwMode="auto">
        <a:xfrm>
          <a:off x="609600" y="5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xdr:row>
      <xdr:rowOff>0</xdr:rowOff>
    </xdr:from>
    <xdr:ext cx="304800" cy="304800"/>
    <xdr:sp macro="" textlink="">
      <xdr:nvSpPr>
        <xdr:cNvPr id="5" name="AutoShape 4" descr="Minnesota Timberwolves Logo">
          <a:hlinkClick xmlns:r="http://schemas.openxmlformats.org/officeDocument/2006/relationships" r:id="rId4"/>
          <a:extLst>
            <a:ext uri="{FF2B5EF4-FFF2-40B4-BE49-F238E27FC236}">
              <a16:creationId xmlns:a16="http://schemas.microsoft.com/office/drawing/2014/main" id="{B9835E78-2226-424E-B43F-66548AF170CF}"/>
            </a:ext>
          </a:extLst>
        </xdr:cNvPr>
        <xdr:cNvSpPr>
          <a:spLocks noChangeAspect="1" noChangeArrowheads="1"/>
        </xdr:cNvSpPr>
      </xdr:nvSpPr>
      <xdr:spPr bwMode="auto">
        <a:xfrm>
          <a:off x="6096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xdr:row>
      <xdr:rowOff>0</xdr:rowOff>
    </xdr:from>
    <xdr:ext cx="304800" cy="304800"/>
    <xdr:sp macro="" textlink="">
      <xdr:nvSpPr>
        <xdr:cNvPr id="6" name="AutoShape 5" descr="LA Clippers Logo">
          <a:hlinkClick xmlns:r="http://schemas.openxmlformats.org/officeDocument/2006/relationships" r:id="rId5"/>
          <a:extLst>
            <a:ext uri="{FF2B5EF4-FFF2-40B4-BE49-F238E27FC236}">
              <a16:creationId xmlns:a16="http://schemas.microsoft.com/office/drawing/2014/main" id="{85BC1170-5943-4DB8-8584-D2A30422120F}"/>
            </a:ext>
          </a:extLst>
        </xdr:cNvPr>
        <xdr:cNvSpPr>
          <a:spLocks noChangeAspect="1" noChangeArrowheads="1"/>
        </xdr:cNvSpPr>
      </xdr:nvSpPr>
      <xdr:spPr bwMode="auto">
        <a:xfrm>
          <a:off x="6096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6</xdr:row>
      <xdr:rowOff>0</xdr:rowOff>
    </xdr:from>
    <xdr:ext cx="304800" cy="304800"/>
    <xdr:sp macro="" textlink="">
      <xdr:nvSpPr>
        <xdr:cNvPr id="7" name="AutoShape 6" descr="Milwaukee Bucks Logo">
          <a:hlinkClick xmlns:r="http://schemas.openxmlformats.org/officeDocument/2006/relationships" r:id="rId6"/>
          <a:extLst>
            <a:ext uri="{FF2B5EF4-FFF2-40B4-BE49-F238E27FC236}">
              <a16:creationId xmlns:a16="http://schemas.microsoft.com/office/drawing/2014/main" id="{0304B520-0F18-4EBB-A13E-777EBA7F60C0}"/>
            </a:ext>
          </a:extLst>
        </xdr:cNvPr>
        <xdr:cNvSpPr>
          <a:spLocks noChangeAspect="1" noChangeArrowheads="1"/>
        </xdr:cNvSpPr>
      </xdr:nvSpPr>
      <xdr:spPr bwMode="auto">
        <a:xfrm>
          <a:off x="609600"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7</xdr:row>
      <xdr:rowOff>0</xdr:rowOff>
    </xdr:from>
    <xdr:ext cx="304800" cy="304800"/>
    <xdr:sp macro="" textlink="">
      <xdr:nvSpPr>
        <xdr:cNvPr id="8" name="AutoShape 7" descr="Dallas Mavericks Logo">
          <a:hlinkClick xmlns:r="http://schemas.openxmlformats.org/officeDocument/2006/relationships" r:id="rId7"/>
          <a:extLst>
            <a:ext uri="{FF2B5EF4-FFF2-40B4-BE49-F238E27FC236}">
              <a16:creationId xmlns:a16="http://schemas.microsoft.com/office/drawing/2014/main" id="{0BB7B616-D335-40EE-8E74-A04C2C3CF98D}"/>
            </a:ext>
          </a:extLst>
        </xdr:cNvPr>
        <xdr:cNvSpPr>
          <a:spLocks noChangeAspect="1" noChangeArrowheads="1"/>
        </xdr:cNvSpPr>
      </xdr:nvSpPr>
      <xdr:spPr bwMode="auto">
        <a:xfrm>
          <a:off x="6096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8</xdr:row>
      <xdr:rowOff>0</xdr:rowOff>
    </xdr:from>
    <xdr:ext cx="304800" cy="304800"/>
    <xdr:sp macro="" textlink="">
      <xdr:nvSpPr>
        <xdr:cNvPr id="9" name="AutoShape 8" descr="Cleveland Cavaliers Logo">
          <a:hlinkClick xmlns:r="http://schemas.openxmlformats.org/officeDocument/2006/relationships" r:id="rId8"/>
          <a:extLst>
            <a:ext uri="{FF2B5EF4-FFF2-40B4-BE49-F238E27FC236}">
              <a16:creationId xmlns:a16="http://schemas.microsoft.com/office/drawing/2014/main" id="{662EC255-69BE-4707-9DCA-734AC84F9F3A}"/>
            </a:ext>
          </a:extLst>
        </xdr:cNvPr>
        <xdr:cNvSpPr>
          <a:spLocks noChangeAspect="1" noChangeArrowheads="1"/>
        </xdr:cNvSpPr>
      </xdr:nvSpPr>
      <xdr:spPr bwMode="auto">
        <a:xfrm>
          <a:off x="609600"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9</xdr:row>
      <xdr:rowOff>0</xdr:rowOff>
    </xdr:from>
    <xdr:ext cx="304800" cy="304800"/>
    <xdr:sp macro="" textlink="">
      <xdr:nvSpPr>
        <xdr:cNvPr id="10" name="AutoShape 9" descr="New Orleans Pelicans Logo">
          <a:hlinkClick xmlns:r="http://schemas.openxmlformats.org/officeDocument/2006/relationships" r:id="rId9"/>
          <a:extLst>
            <a:ext uri="{FF2B5EF4-FFF2-40B4-BE49-F238E27FC236}">
              <a16:creationId xmlns:a16="http://schemas.microsoft.com/office/drawing/2014/main" id="{69D7DF06-EBCD-46B7-8EB2-010D8EDCE4F7}"/>
            </a:ext>
          </a:extLst>
        </xdr:cNvPr>
        <xdr:cNvSpPr>
          <a:spLocks noChangeAspect="1" noChangeArrowheads="1"/>
        </xdr:cNvSpPr>
      </xdr:nvSpPr>
      <xdr:spPr bwMode="auto">
        <a:xfrm>
          <a:off x="609600"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xdr:row>
      <xdr:rowOff>0</xdr:rowOff>
    </xdr:from>
    <xdr:ext cx="304800" cy="304800"/>
    <xdr:sp macro="" textlink="">
      <xdr:nvSpPr>
        <xdr:cNvPr id="11" name="AutoShape 10" descr="New York Knicks Logo">
          <a:hlinkClick xmlns:r="http://schemas.openxmlformats.org/officeDocument/2006/relationships" r:id="rId10"/>
          <a:extLst>
            <a:ext uri="{FF2B5EF4-FFF2-40B4-BE49-F238E27FC236}">
              <a16:creationId xmlns:a16="http://schemas.microsoft.com/office/drawing/2014/main" id="{237C0DA1-E2ED-400A-8A6E-D75794DB8D45}"/>
            </a:ext>
          </a:extLst>
        </xdr:cNvPr>
        <xdr:cNvSpPr>
          <a:spLocks noChangeAspect="1" noChangeArrowheads="1"/>
        </xdr:cNvSpPr>
      </xdr:nvSpPr>
      <xdr:spPr bwMode="auto">
        <a:xfrm>
          <a:off x="6096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xdr:row>
      <xdr:rowOff>0</xdr:rowOff>
    </xdr:from>
    <xdr:ext cx="304800" cy="304800"/>
    <xdr:sp macro="" textlink="">
      <xdr:nvSpPr>
        <xdr:cNvPr id="12" name="AutoShape 11" descr="Orlando Magic Logo">
          <a:hlinkClick xmlns:r="http://schemas.openxmlformats.org/officeDocument/2006/relationships" r:id="rId11"/>
          <a:extLst>
            <a:ext uri="{FF2B5EF4-FFF2-40B4-BE49-F238E27FC236}">
              <a16:creationId xmlns:a16="http://schemas.microsoft.com/office/drawing/2014/main" id="{0292B182-F0CC-4DAC-A6C5-E0037F753E4D}"/>
            </a:ext>
          </a:extLst>
        </xdr:cNvPr>
        <xdr:cNvSpPr>
          <a:spLocks noChangeAspect="1" noChangeArrowheads="1"/>
        </xdr:cNvSpPr>
      </xdr:nvSpPr>
      <xdr:spPr bwMode="auto">
        <a:xfrm>
          <a:off x="6096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12</xdr:row>
      <xdr:rowOff>0</xdr:rowOff>
    </xdr:from>
    <xdr:ext cx="304800" cy="304800"/>
    <xdr:sp macro="" textlink="">
      <xdr:nvSpPr>
        <xdr:cNvPr id="13" name="AutoShape 12" descr="Phoenix Suns Logo">
          <a:hlinkClick xmlns:r="http://schemas.openxmlformats.org/officeDocument/2006/relationships" r:id="rId12"/>
          <a:extLst>
            <a:ext uri="{FF2B5EF4-FFF2-40B4-BE49-F238E27FC236}">
              <a16:creationId xmlns:a16="http://schemas.microsoft.com/office/drawing/2014/main" id="{792CBD08-F086-4FBC-B156-7744EEB672D2}"/>
            </a:ext>
          </a:extLst>
        </xdr:cNvPr>
        <xdr:cNvSpPr>
          <a:spLocks noChangeAspect="1" noChangeArrowheads="1"/>
        </xdr:cNvSpPr>
      </xdr:nvSpPr>
      <xdr:spPr bwMode="auto">
        <a:xfrm>
          <a:off x="609600"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13</xdr:row>
      <xdr:rowOff>0</xdr:rowOff>
    </xdr:from>
    <xdr:ext cx="304800" cy="304800"/>
    <xdr:sp macro="" textlink="">
      <xdr:nvSpPr>
        <xdr:cNvPr id="14" name="AutoShape 13" descr="Sacramento Kings Logo">
          <a:hlinkClick xmlns:r="http://schemas.openxmlformats.org/officeDocument/2006/relationships" r:id="rId13"/>
          <a:extLst>
            <a:ext uri="{FF2B5EF4-FFF2-40B4-BE49-F238E27FC236}">
              <a16:creationId xmlns:a16="http://schemas.microsoft.com/office/drawing/2014/main" id="{F8106D28-0780-4FE9-8F1C-2AFBD876AC88}"/>
            </a:ext>
          </a:extLst>
        </xdr:cNvPr>
        <xdr:cNvSpPr>
          <a:spLocks noChangeAspect="1" noChangeArrowheads="1"/>
        </xdr:cNvSpPr>
      </xdr:nvSpPr>
      <xdr:spPr bwMode="auto">
        <a:xfrm>
          <a:off x="6096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xdr:row>
      <xdr:rowOff>0</xdr:rowOff>
    </xdr:from>
    <xdr:ext cx="304800" cy="304800"/>
    <xdr:sp macro="" textlink="">
      <xdr:nvSpPr>
        <xdr:cNvPr id="15" name="AutoShape 14" descr="Indiana Pacers Logo">
          <a:hlinkClick xmlns:r="http://schemas.openxmlformats.org/officeDocument/2006/relationships" r:id="rId14"/>
          <a:extLst>
            <a:ext uri="{FF2B5EF4-FFF2-40B4-BE49-F238E27FC236}">
              <a16:creationId xmlns:a16="http://schemas.microsoft.com/office/drawing/2014/main" id="{BD5819A5-3C59-43D6-8383-0DAFF789CA50}"/>
            </a:ext>
          </a:extLst>
        </xdr:cNvPr>
        <xdr:cNvSpPr>
          <a:spLocks noChangeAspect="1" noChangeArrowheads="1"/>
        </xdr:cNvSpPr>
      </xdr:nvSpPr>
      <xdr:spPr bwMode="auto">
        <a:xfrm>
          <a:off x="609600"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xdr:row>
      <xdr:rowOff>0</xdr:rowOff>
    </xdr:from>
    <xdr:ext cx="304800" cy="304799"/>
    <xdr:sp macro="" textlink="">
      <xdr:nvSpPr>
        <xdr:cNvPr id="16" name="AutoShape 15" descr="Los Angeles Lakers Logo">
          <a:hlinkClick xmlns:r="http://schemas.openxmlformats.org/officeDocument/2006/relationships" r:id="rId15"/>
          <a:extLst>
            <a:ext uri="{FF2B5EF4-FFF2-40B4-BE49-F238E27FC236}">
              <a16:creationId xmlns:a16="http://schemas.microsoft.com/office/drawing/2014/main" id="{A1276051-53C0-4A25-A110-E0E4E652D7D1}"/>
            </a:ext>
          </a:extLst>
        </xdr:cNvPr>
        <xdr:cNvSpPr>
          <a:spLocks noChangeAspect="1" noChangeArrowheads="1"/>
        </xdr:cNvSpPr>
      </xdr:nvSpPr>
      <xdr:spPr bwMode="auto">
        <a:xfrm>
          <a:off x="609600" y="28575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16</xdr:row>
      <xdr:rowOff>0</xdr:rowOff>
    </xdr:from>
    <xdr:ext cx="304800" cy="304800"/>
    <xdr:sp macro="" textlink="">
      <xdr:nvSpPr>
        <xdr:cNvPr id="17" name="AutoShape 16" descr="Miami Heat Logo">
          <a:hlinkClick xmlns:r="http://schemas.openxmlformats.org/officeDocument/2006/relationships" r:id="rId16"/>
          <a:extLst>
            <a:ext uri="{FF2B5EF4-FFF2-40B4-BE49-F238E27FC236}">
              <a16:creationId xmlns:a16="http://schemas.microsoft.com/office/drawing/2014/main" id="{3D04D576-30FC-46E8-B956-0CD1EE82481E}"/>
            </a:ext>
          </a:extLst>
        </xdr:cNvPr>
        <xdr:cNvSpPr>
          <a:spLocks noChangeAspect="1" noChangeArrowheads="1"/>
        </xdr:cNvSpPr>
      </xdr:nvSpPr>
      <xdr:spPr bwMode="auto">
        <a:xfrm>
          <a:off x="6096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17</xdr:row>
      <xdr:rowOff>0</xdr:rowOff>
    </xdr:from>
    <xdr:ext cx="304800" cy="304801"/>
    <xdr:sp macro="" textlink="">
      <xdr:nvSpPr>
        <xdr:cNvPr id="18" name="AutoShape 17" descr="Golden State Warriors Logo">
          <a:hlinkClick xmlns:r="http://schemas.openxmlformats.org/officeDocument/2006/relationships" r:id="rId17"/>
          <a:extLst>
            <a:ext uri="{FF2B5EF4-FFF2-40B4-BE49-F238E27FC236}">
              <a16:creationId xmlns:a16="http://schemas.microsoft.com/office/drawing/2014/main" id="{53C1ECB6-6BD8-4ED7-AC7D-3BAE2931E26F}"/>
            </a:ext>
          </a:extLst>
        </xdr:cNvPr>
        <xdr:cNvSpPr>
          <a:spLocks noChangeAspect="1" noChangeArrowheads="1"/>
        </xdr:cNvSpPr>
      </xdr:nvSpPr>
      <xdr:spPr bwMode="auto">
        <a:xfrm>
          <a:off x="609600" y="3238500"/>
          <a:ext cx="304800" cy="30480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18</xdr:row>
      <xdr:rowOff>0</xdr:rowOff>
    </xdr:from>
    <xdr:ext cx="304800" cy="304800"/>
    <xdr:sp macro="" textlink="">
      <xdr:nvSpPr>
        <xdr:cNvPr id="19" name="AutoShape 18" descr="Philadelphia 76ers Logo">
          <a:hlinkClick xmlns:r="http://schemas.openxmlformats.org/officeDocument/2006/relationships" r:id="rId18"/>
          <a:extLst>
            <a:ext uri="{FF2B5EF4-FFF2-40B4-BE49-F238E27FC236}">
              <a16:creationId xmlns:a16="http://schemas.microsoft.com/office/drawing/2014/main" id="{524F7392-F2EE-442F-978B-8F7D02117453}"/>
            </a:ext>
          </a:extLst>
        </xdr:cNvPr>
        <xdr:cNvSpPr>
          <a:spLocks noChangeAspect="1" noChangeArrowheads="1"/>
        </xdr:cNvSpPr>
      </xdr:nvSpPr>
      <xdr:spPr bwMode="auto">
        <a:xfrm>
          <a:off x="6096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4800"/>
    <xdr:sp macro="" textlink="">
      <xdr:nvSpPr>
        <xdr:cNvPr id="20" name="AutoShape 19" descr="Houston Rockets Logo">
          <a:hlinkClick xmlns:r="http://schemas.openxmlformats.org/officeDocument/2006/relationships" r:id="rId19"/>
          <a:extLst>
            <a:ext uri="{FF2B5EF4-FFF2-40B4-BE49-F238E27FC236}">
              <a16:creationId xmlns:a16="http://schemas.microsoft.com/office/drawing/2014/main" id="{1FD09CA7-D337-4BFF-8050-5C6009FF6F9B}"/>
            </a:ext>
          </a:extLst>
        </xdr:cNvPr>
        <xdr:cNvSpPr>
          <a:spLocks noChangeAspect="1" noChangeArrowheads="1"/>
        </xdr:cNvSpPr>
      </xdr:nvSpPr>
      <xdr:spPr bwMode="auto">
        <a:xfrm>
          <a:off x="6096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20</xdr:row>
      <xdr:rowOff>0</xdr:rowOff>
    </xdr:from>
    <xdr:ext cx="304800" cy="304800"/>
    <xdr:sp macro="" textlink="">
      <xdr:nvSpPr>
        <xdr:cNvPr id="21" name="AutoShape 20" descr="Chicago Bulls Logo">
          <a:hlinkClick xmlns:r="http://schemas.openxmlformats.org/officeDocument/2006/relationships" r:id="rId20"/>
          <a:extLst>
            <a:ext uri="{FF2B5EF4-FFF2-40B4-BE49-F238E27FC236}">
              <a16:creationId xmlns:a16="http://schemas.microsoft.com/office/drawing/2014/main" id="{285E9D54-F2CF-4C0C-9B1C-82F3B000DF07}"/>
            </a:ext>
          </a:extLst>
        </xdr:cNvPr>
        <xdr:cNvSpPr>
          <a:spLocks noChangeAspect="1" noChangeArrowheads="1"/>
        </xdr:cNvSpPr>
      </xdr:nvSpPr>
      <xdr:spPr bwMode="auto">
        <a:xfrm>
          <a:off x="6096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4800"/>
    <xdr:sp macro="" textlink="">
      <xdr:nvSpPr>
        <xdr:cNvPr id="22" name="AutoShape 21" descr="Atlanta Hawks Logo">
          <a:hlinkClick xmlns:r="http://schemas.openxmlformats.org/officeDocument/2006/relationships" r:id="rId21"/>
          <a:extLst>
            <a:ext uri="{FF2B5EF4-FFF2-40B4-BE49-F238E27FC236}">
              <a16:creationId xmlns:a16="http://schemas.microsoft.com/office/drawing/2014/main" id="{631400FA-1EC3-44E2-9A8F-0F934A2AB4F0}"/>
            </a:ext>
          </a:extLst>
        </xdr:cNvPr>
        <xdr:cNvSpPr>
          <a:spLocks noChangeAspect="1" noChangeArrowheads="1"/>
        </xdr:cNvSpPr>
      </xdr:nvSpPr>
      <xdr:spPr bwMode="auto">
        <a:xfrm>
          <a:off x="60960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22</xdr:row>
      <xdr:rowOff>0</xdr:rowOff>
    </xdr:from>
    <xdr:ext cx="304800" cy="304799"/>
    <xdr:sp macro="" textlink="">
      <xdr:nvSpPr>
        <xdr:cNvPr id="23" name="AutoShape 22" descr="Utah Jazz Logo">
          <a:hlinkClick xmlns:r="http://schemas.openxmlformats.org/officeDocument/2006/relationships" r:id="rId22"/>
          <a:extLst>
            <a:ext uri="{FF2B5EF4-FFF2-40B4-BE49-F238E27FC236}">
              <a16:creationId xmlns:a16="http://schemas.microsoft.com/office/drawing/2014/main" id="{03D349A9-386A-469F-9B09-49CF16150CC8}"/>
            </a:ext>
          </a:extLst>
        </xdr:cNvPr>
        <xdr:cNvSpPr>
          <a:spLocks noChangeAspect="1" noChangeArrowheads="1"/>
        </xdr:cNvSpPr>
      </xdr:nvSpPr>
      <xdr:spPr bwMode="auto">
        <a:xfrm>
          <a:off x="609600" y="41910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23</xdr:row>
      <xdr:rowOff>0</xdr:rowOff>
    </xdr:from>
    <xdr:ext cx="304800" cy="304800"/>
    <xdr:sp macro="" textlink="">
      <xdr:nvSpPr>
        <xdr:cNvPr id="24" name="AutoShape 23" descr="Brooklyn Nets Logo">
          <a:hlinkClick xmlns:r="http://schemas.openxmlformats.org/officeDocument/2006/relationships" r:id="rId23"/>
          <a:extLst>
            <a:ext uri="{FF2B5EF4-FFF2-40B4-BE49-F238E27FC236}">
              <a16:creationId xmlns:a16="http://schemas.microsoft.com/office/drawing/2014/main" id="{7EE91547-92AF-44AB-9E39-E5F5A3C2E886}"/>
            </a:ext>
          </a:extLst>
        </xdr:cNvPr>
        <xdr:cNvSpPr>
          <a:spLocks noChangeAspect="1" noChangeArrowheads="1"/>
        </xdr:cNvSpPr>
      </xdr:nvSpPr>
      <xdr:spPr bwMode="auto">
        <a:xfrm>
          <a:off x="6096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24</xdr:row>
      <xdr:rowOff>0</xdr:rowOff>
    </xdr:from>
    <xdr:ext cx="304800" cy="304800"/>
    <xdr:sp macro="" textlink="">
      <xdr:nvSpPr>
        <xdr:cNvPr id="25" name="AutoShape 24" descr="Memphis Grizzlies Logo">
          <a:hlinkClick xmlns:r="http://schemas.openxmlformats.org/officeDocument/2006/relationships" r:id="rId24"/>
          <a:extLst>
            <a:ext uri="{FF2B5EF4-FFF2-40B4-BE49-F238E27FC236}">
              <a16:creationId xmlns:a16="http://schemas.microsoft.com/office/drawing/2014/main" id="{1F47134F-DE68-42FA-A2DC-6388E6EB8EBB}"/>
            </a:ext>
          </a:extLst>
        </xdr:cNvPr>
        <xdr:cNvSpPr>
          <a:spLocks noChangeAspect="1" noChangeArrowheads="1"/>
        </xdr:cNvSpPr>
      </xdr:nvSpPr>
      <xdr:spPr bwMode="auto">
        <a:xfrm>
          <a:off x="609600"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25</xdr:row>
      <xdr:rowOff>0</xdr:rowOff>
    </xdr:from>
    <xdr:ext cx="304800" cy="304800"/>
    <xdr:sp macro="" textlink="">
      <xdr:nvSpPr>
        <xdr:cNvPr id="26" name="AutoShape 25" descr="Toronto Raptors Logo">
          <a:hlinkClick xmlns:r="http://schemas.openxmlformats.org/officeDocument/2006/relationships" r:id="rId25"/>
          <a:extLst>
            <a:ext uri="{FF2B5EF4-FFF2-40B4-BE49-F238E27FC236}">
              <a16:creationId xmlns:a16="http://schemas.microsoft.com/office/drawing/2014/main" id="{93BD6F10-9B28-4969-BCD9-9B95A343C140}"/>
            </a:ext>
          </a:extLst>
        </xdr:cNvPr>
        <xdr:cNvSpPr>
          <a:spLocks noChangeAspect="1" noChangeArrowheads="1"/>
        </xdr:cNvSpPr>
      </xdr:nvSpPr>
      <xdr:spPr bwMode="auto">
        <a:xfrm>
          <a:off x="609600" y="47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26</xdr:row>
      <xdr:rowOff>0</xdr:rowOff>
    </xdr:from>
    <xdr:ext cx="304800" cy="304800"/>
    <xdr:sp macro="" textlink="">
      <xdr:nvSpPr>
        <xdr:cNvPr id="27" name="AutoShape 26" descr="Portland Trail Blazers Logo">
          <a:hlinkClick xmlns:r="http://schemas.openxmlformats.org/officeDocument/2006/relationships" r:id="rId26"/>
          <a:extLst>
            <a:ext uri="{FF2B5EF4-FFF2-40B4-BE49-F238E27FC236}">
              <a16:creationId xmlns:a16="http://schemas.microsoft.com/office/drawing/2014/main" id="{C8BFF7FE-B923-49C7-ADEB-782CD75E9D57}"/>
            </a:ext>
          </a:extLst>
        </xdr:cNvPr>
        <xdr:cNvSpPr>
          <a:spLocks noChangeAspect="1" noChangeArrowheads="1"/>
        </xdr:cNvSpPr>
      </xdr:nvSpPr>
      <xdr:spPr bwMode="auto">
        <a:xfrm>
          <a:off x="609600"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27</xdr:row>
      <xdr:rowOff>0</xdr:rowOff>
    </xdr:from>
    <xdr:ext cx="304800" cy="304801"/>
    <xdr:sp macro="" textlink="">
      <xdr:nvSpPr>
        <xdr:cNvPr id="28" name="AutoShape 27" descr="Charlotte Hornets Logo">
          <a:hlinkClick xmlns:r="http://schemas.openxmlformats.org/officeDocument/2006/relationships" r:id="rId27"/>
          <a:extLst>
            <a:ext uri="{FF2B5EF4-FFF2-40B4-BE49-F238E27FC236}">
              <a16:creationId xmlns:a16="http://schemas.microsoft.com/office/drawing/2014/main" id="{3CBE3BF2-22C5-4469-AC35-2706FEF053ED}"/>
            </a:ext>
          </a:extLst>
        </xdr:cNvPr>
        <xdr:cNvSpPr>
          <a:spLocks noChangeAspect="1" noChangeArrowheads="1"/>
        </xdr:cNvSpPr>
      </xdr:nvSpPr>
      <xdr:spPr bwMode="auto">
        <a:xfrm>
          <a:off x="609600" y="5143500"/>
          <a:ext cx="304800" cy="30480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28</xdr:row>
      <xdr:rowOff>0</xdr:rowOff>
    </xdr:from>
    <xdr:ext cx="304800" cy="304800"/>
    <xdr:sp macro="" textlink="">
      <xdr:nvSpPr>
        <xdr:cNvPr id="29" name="AutoShape 28" descr="San Antonio Spurs Logo">
          <a:hlinkClick xmlns:r="http://schemas.openxmlformats.org/officeDocument/2006/relationships" r:id="rId28"/>
          <a:extLst>
            <a:ext uri="{FF2B5EF4-FFF2-40B4-BE49-F238E27FC236}">
              <a16:creationId xmlns:a16="http://schemas.microsoft.com/office/drawing/2014/main" id="{006AF303-C4BA-4245-9474-BD6C4B15308E}"/>
            </a:ext>
          </a:extLst>
        </xdr:cNvPr>
        <xdr:cNvSpPr>
          <a:spLocks noChangeAspect="1" noChangeArrowheads="1"/>
        </xdr:cNvSpPr>
      </xdr:nvSpPr>
      <xdr:spPr bwMode="auto">
        <a:xfrm>
          <a:off x="609600"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xdr:row>
      <xdr:rowOff>0</xdr:rowOff>
    </xdr:from>
    <xdr:ext cx="304800" cy="304799"/>
    <xdr:sp macro="" textlink="">
      <xdr:nvSpPr>
        <xdr:cNvPr id="30" name="AutoShape 29" descr="Washington Wizards Logo">
          <a:hlinkClick xmlns:r="http://schemas.openxmlformats.org/officeDocument/2006/relationships" r:id="rId29"/>
          <a:extLst>
            <a:ext uri="{FF2B5EF4-FFF2-40B4-BE49-F238E27FC236}">
              <a16:creationId xmlns:a16="http://schemas.microsoft.com/office/drawing/2014/main" id="{018D1F2E-EEB1-4ECD-BF7A-CBD50456E17E}"/>
            </a:ext>
          </a:extLst>
        </xdr:cNvPr>
        <xdr:cNvSpPr>
          <a:spLocks noChangeAspect="1" noChangeArrowheads="1"/>
        </xdr:cNvSpPr>
      </xdr:nvSpPr>
      <xdr:spPr bwMode="auto">
        <a:xfrm>
          <a:off x="609600" y="5524500"/>
          <a:ext cx="304800" cy="304799"/>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xdr:row>
      <xdr:rowOff>0</xdr:rowOff>
    </xdr:from>
    <xdr:ext cx="304800" cy="304800"/>
    <xdr:sp macro="" textlink="">
      <xdr:nvSpPr>
        <xdr:cNvPr id="31" name="AutoShape 30" descr="Detroit Pistons Logo">
          <a:hlinkClick xmlns:r="http://schemas.openxmlformats.org/officeDocument/2006/relationships" r:id="rId30"/>
          <a:extLst>
            <a:ext uri="{FF2B5EF4-FFF2-40B4-BE49-F238E27FC236}">
              <a16:creationId xmlns:a16="http://schemas.microsoft.com/office/drawing/2014/main" id="{3F838F78-4D7D-47AC-8933-4A77AE3D55DD}"/>
            </a:ext>
          </a:extLst>
        </xdr:cNvPr>
        <xdr:cNvSpPr>
          <a:spLocks noChangeAspect="1" noChangeArrowheads="1"/>
        </xdr:cNvSpPr>
      </xdr:nvSpPr>
      <xdr:spPr bwMode="auto">
        <a:xfrm>
          <a:off x="6096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7.xml><?xml version="1.0" encoding="utf-8"?>
<xdr:wsDr xmlns:xdr="http://schemas.openxmlformats.org/drawingml/2006/spreadsheetDrawing" xmlns:a="http://schemas.openxmlformats.org/drawingml/2006/main">
  <xdr:twoCellAnchor>
    <xdr:from>
      <xdr:col>24</xdr:col>
      <xdr:colOff>182671</xdr:colOff>
      <xdr:row>75</xdr:row>
      <xdr:rowOff>156576</xdr:rowOff>
    </xdr:from>
    <xdr:to>
      <xdr:col>26</xdr:col>
      <xdr:colOff>600206</xdr:colOff>
      <xdr:row>83</xdr:row>
      <xdr:rowOff>91335</xdr:rowOff>
    </xdr:to>
    <xdr:sp macro="" textlink="">
      <xdr:nvSpPr>
        <xdr:cNvPr id="2" name="Smiley Face 1">
          <a:extLst>
            <a:ext uri="{FF2B5EF4-FFF2-40B4-BE49-F238E27FC236}">
              <a16:creationId xmlns:a16="http://schemas.microsoft.com/office/drawing/2014/main" id="{00000000-0008-0000-0900-000002000000}"/>
            </a:ext>
          </a:extLst>
        </xdr:cNvPr>
        <xdr:cNvSpPr/>
      </xdr:nvSpPr>
      <xdr:spPr>
        <a:xfrm>
          <a:off x="15521731" y="13872576"/>
          <a:ext cx="1636735" cy="1397799"/>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333375</xdr:colOff>
      <xdr:row>11</xdr:row>
      <xdr:rowOff>0</xdr:rowOff>
    </xdr:from>
    <xdr:to>
      <xdr:col>28</xdr:col>
      <xdr:colOff>206375</xdr:colOff>
      <xdr:row>27</xdr:row>
      <xdr:rowOff>15875</xdr:rowOff>
    </xdr:to>
    <xdr:sp macro="" textlink="">
      <xdr:nvSpPr>
        <xdr:cNvPr id="3" name="12-Point Star 2">
          <a:extLst>
            <a:ext uri="{FF2B5EF4-FFF2-40B4-BE49-F238E27FC236}">
              <a16:creationId xmlns:a16="http://schemas.microsoft.com/office/drawing/2014/main" id="{00000000-0008-0000-0900-000003000000}"/>
            </a:ext>
          </a:extLst>
        </xdr:cNvPr>
        <xdr:cNvSpPr/>
      </xdr:nvSpPr>
      <xdr:spPr>
        <a:xfrm>
          <a:off x="15062835" y="2011680"/>
          <a:ext cx="2921000" cy="2941955"/>
        </a:xfrm>
        <a:prstGeom prst="star1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372534</xdr:colOff>
      <xdr:row>104</xdr:row>
      <xdr:rowOff>93134</xdr:rowOff>
    </xdr:from>
    <xdr:to>
      <xdr:col>45</xdr:col>
      <xdr:colOff>538692</xdr:colOff>
      <xdr:row>128</xdr:row>
      <xdr:rowOff>173566</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0"/>
  <sheetViews>
    <sheetView workbookViewId="0">
      <selection activeCell="E2" sqref="E2"/>
    </sheetView>
  </sheetViews>
  <sheetFormatPr defaultRowHeight="14.5" x14ac:dyDescent="0.35"/>
  <cols>
    <col min="2" max="2" width="13.08984375" customWidth="1"/>
    <col min="5" max="5" width="9.54296875" bestFit="1" customWidth="1"/>
  </cols>
  <sheetData>
    <row r="1" spans="2:10" x14ac:dyDescent="0.35">
      <c r="D1" t="s">
        <v>2</v>
      </c>
      <c r="E1" s="16">
        <v>7</v>
      </c>
      <c r="G1" t="s">
        <v>2</v>
      </c>
      <c r="H1" s="16">
        <v>7</v>
      </c>
    </row>
    <row r="2" spans="2:10" x14ac:dyDescent="0.35">
      <c r="B2" s="3" t="s">
        <v>163</v>
      </c>
      <c r="D2" t="s">
        <v>3</v>
      </c>
      <c r="E2" s="17">
        <f>C4*(1-C5)/(C4*(1-C5)+C5*(1-C4))</f>
        <v>0.57172131147540983</v>
      </c>
      <c r="G2" t="s">
        <v>3</v>
      </c>
      <c r="H2" s="17">
        <f ca="1">G7*(1-G8)/(G7*(1-G8)+G8*(1-G7))</f>
        <v>0.54159733777038277</v>
      </c>
    </row>
    <row r="3" spans="2:10" x14ac:dyDescent="0.35">
      <c r="B3" s="3"/>
      <c r="E3" s="17"/>
      <c r="H3" s="17"/>
    </row>
    <row r="4" spans="2:10" x14ac:dyDescent="0.35">
      <c r="B4" t="s">
        <v>0</v>
      </c>
      <c r="C4" s="19">
        <v>0.62</v>
      </c>
      <c r="E4" s="18" t="s">
        <v>165</v>
      </c>
      <c r="F4" s="3" t="s">
        <v>162</v>
      </c>
    </row>
    <row r="5" spans="2:10" x14ac:dyDescent="0.35">
      <c r="B5" t="s">
        <v>1</v>
      </c>
      <c r="C5" s="19">
        <v>0.55000000000000004</v>
      </c>
      <c r="E5">
        <f ca="1">_xlfn.BINOM.INV(E1,E2,RAND())</f>
        <v>7</v>
      </c>
      <c r="F5" s="2" t="str">
        <f ca="1">IF(E5&gt;=4,"A","B")</f>
        <v>A</v>
      </c>
    </row>
    <row r="6" spans="2:10" x14ac:dyDescent="0.35">
      <c r="C6" s="12"/>
    </row>
    <row r="7" spans="2:10" x14ac:dyDescent="0.35">
      <c r="C7" s="12"/>
      <c r="D7" t="s">
        <v>2</v>
      </c>
      <c r="E7" s="16">
        <v>7</v>
      </c>
      <c r="G7">
        <f ca="1">IF(F5="A",C4,C5)</f>
        <v>0.62</v>
      </c>
      <c r="J7" s="3" t="s">
        <v>164</v>
      </c>
    </row>
    <row r="8" spans="2:10" x14ac:dyDescent="0.35">
      <c r="C8" s="12"/>
      <c r="D8" t="s">
        <v>3</v>
      </c>
      <c r="E8">
        <f>C10*(1-C11)/(C10*(1-C11)+C11*(1-C10))</f>
        <v>0.5</v>
      </c>
      <c r="G8">
        <f ca="1">IF(F11="A",C10,C11)</f>
        <v>0.57999999999999996</v>
      </c>
      <c r="I8">
        <f ca="1">_xlfn.BINOM.INV(H1,H2,RAND())</f>
        <v>4</v>
      </c>
      <c r="J8" s="2" t="str">
        <f ca="1">IF(I8&gt;=4,F5,F11)</f>
        <v>A</v>
      </c>
    </row>
    <row r="9" spans="2:10" x14ac:dyDescent="0.35">
      <c r="C9" s="12"/>
      <c r="J9" s="2"/>
    </row>
    <row r="10" spans="2:10" x14ac:dyDescent="0.35">
      <c r="B10" t="s">
        <v>4</v>
      </c>
      <c r="C10" s="19">
        <v>0.57999999999999996</v>
      </c>
      <c r="E10" s="18" t="s">
        <v>166</v>
      </c>
    </row>
    <row r="11" spans="2:10" x14ac:dyDescent="0.35">
      <c r="B11" t="s">
        <v>5</v>
      </c>
      <c r="C11" s="19">
        <v>0.57999999999999996</v>
      </c>
      <c r="E11">
        <f ca="1">_xlfn.BINOM.INV(E7,E8,RAND())</f>
        <v>3</v>
      </c>
      <c r="F11" s="2" t="str">
        <f ca="1">IF(E11&gt;=4,"C","D")</f>
        <v>D</v>
      </c>
    </row>
    <row r="24" spans="2:4" x14ac:dyDescent="0.35">
      <c r="B24" s="3"/>
      <c r="C24" s="3" t="s">
        <v>10</v>
      </c>
      <c r="D24" s="3" t="s">
        <v>11</v>
      </c>
    </row>
    <row r="25" spans="2:4" x14ac:dyDescent="0.35">
      <c r="B25" s="1" t="s">
        <v>6</v>
      </c>
      <c r="C25" s="3">
        <v>83</v>
      </c>
      <c r="D25" s="4">
        <f>C25/$C$30</f>
        <v>0.41499999999999998</v>
      </c>
    </row>
    <row r="26" spans="2:4" x14ac:dyDescent="0.35">
      <c r="B26" s="1" t="s">
        <v>7</v>
      </c>
      <c r="C26" s="1">
        <v>23</v>
      </c>
      <c r="D26" s="4">
        <f t="shared" ref="D26:D28" si="0">C26/$C$30</f>
        <v>0.115</v>
      </c>
    </row>
    <row r="27" spans="2:4" x14ac:dyDescent="0.35">
      <c r="B27" s="1" t="s">
        <v>8</v>
      </c>
      <c r="C27" s="1">
        <v>54</v>
      </c>
      <c r="D27" s="4">
        <f t="shared" si="0"/>
        <v>0.27</v>
      </c>
    </row>
    <row r="28" spans="2:4" x14ac:dyDescent="0.35">
      <c r="B28" s="1" t="s">
        <v>9</v>
      </c>
      <c r="C28" s="1">
        <v>40</v>
      </c>
      <c r="D28" s="4">
        <f t="shared" si="0"/>
        <v>0.2</v>
      </c>
    </row>
    <row r="29" spans="2:4" x14ac:dyDescent="0.35">
      <c r="B29" s="1"/>
      <c r="C29" s="1"/>
      <c r="D29" s="1"/>
    </row>
    <row r="30" spans="2:4" x14ac:dyDescent="0.35">
      <c r="B30" s="1"/>
      <c r="C30" s="1">
        <f>SUM(C25:C28)</f>
        <v>200</v>
      </c>
      <c r="D30" s="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27"/>
  <sheetViews>
    <sheetView workbookViewId="0">
      <selection activeCell="A6" sqref="A6"/>
    </sheetView>
  </sheetViews>
  <sheetFormatPr defaultRowHeight="14.5" x14ac:dyDescent="0.35"/>
  <cols>
    <col min="1" max="1" width="110.36328125" customWidth="1"/>
    <col min="2" max="2" width="12" customWidth="1"/>
  </cols>
  <sheetData>
    <row r="1" spans="1:1" x14ac:dyDescent="0.35">
      <c r="A1" s="35" t="s">
        <v>167</v>
      </c>
    </row>
    <row r="2" spans="1:1" x14ac:dyDescent="0.35">
      <c r="A2" s="36"/>
    </row>
    <row r="3" spans="1:1" x14ac:dyDescent="0.35">
      <c r="A3" s="35" t="s">
        <v>169</v>
      </c>
    </row>
    <row r="4" spans="1:1" x14ac:dyDescent="0.35">
      <c r="A4" s="35"/>
    </row>
    <row r="5" spans="1:1" ht="48.65" customHeight="1" x14ac:dyDescent="0.35">
      <c r="A5" s="36" t="s">
        <v>168</v>
      </c>
    </row>
    <row r="6" spans="1:1" ht="36" customHeight="1" x14ac:dyDescent="0.35">
      <c r="A6" s="36" t="s">
        <v>170</v>
      </c>
    </row>
    <row r="7" spans="1:1" ht="55.25" customHeight="1" x14ac:dyDescent="0.35">
      <c r="A7" s="36" t="s">
        <v>171</v>
      </c>
    </row>
    <row r="8" spans="1:1" x14ac:dyDescent="0.35">
      <c r="A8" s="36"/>
    </row>
    <row r="9" spans="1:1" x14ac:dyDescent="0.35">
      <c r="A9" s="35"/>
    </row>
    <row r="10" spans="1:1" x14ac:dyDescent="0.35">
      <c r="A10" s="35"/>
    </row>
    <row r="11" spans="1:1" ht="48" customHeight="1" x14ac:dyDescent="0.35">
      <c r="A11" s="36"/>
    </row>
    <row r="12" spans="1:1" ht="48" customHeight="1" x14ac:dyDescent="0.35">
      <c r="A12" s="36"/>
    </row>
    <row r="13" spans="1:1" x14ac:dyDescent="0.35">
      <c r="A13" s="36"/>
    </row>
    <row r="14" spans="1:1" x14ac:dyDescent="0.35">
      <c r="A14" s="35"/>
    </row>
    <row r="15" spans="1:1" x14ac:dyDescent="0.35">
      <c r="A15" s="35"/>
    </row>
    <row r="16" spans="1:1" x14ac:dyDescent="0.35">
      <c r="A16" s="36"/>
    </row>
    <row r="17" spans="1:1" x14ac:dyDescent="0.35">
      <c r="A17" s="36"/>
    </row>
    <row r="18" spans="1:1" x14ac:dyDescent="0.35">
      <c r="A18" s="36"/>
    </row>
    <row r="19" spans="1:1" x14ac:dyDescent="0.35">
      <c r="A19" s="36"/>
    </row>
    <row r="20" spans="1:1" x14ac:dyDescent="0.35">
      <c r="A20" s="35"/>
    </row>
    <row r="21" spans="1:1" x14ac:dyDescent="0.35">
      <c r="A21" s="36"/>
    </row>
    <row r="22" spans="1:1" x14ac:dyDescent="0.35">
      <c r="A22" s="36"/>
    </row>
    <row r="23" spans="1:1" x14ac:dyDescent="0.35">
      <c r="A23" s="36"/>
    </row>
    <row r="24" spans="1:1" ht="30" customHeight="1" x14ac:dyDescent="0.35">
      <c r="A24" s="36"/>
    </row>
    <row r="25" spans="1:1" x14ac:dyDescent="0.35">
      <c r="A25" s="36"/>
    </row>
    <row r="26" spans="1:1" x14ac:dyDescent="0.35">
      <c r="A26" s="36"/>
    </row>
    <row r="27" spans="1:1" x14ac:dyDescent="0.35">
      <c r="A27" s="36"/>
    </row>
  </sheetData>
  <pageMargins left="0.7" right="0.7" top="0.75" bottom="0.75" header="0.3" footer="0.3"/>
  <pageSetup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13"/>
  <sheetViews>
    <sheetView workbookViewId="0">
      <selection activeCell="B4" sqref="B4"/>
    </sheetView>
  </sheetViews>
  <sheetFormatPr defaultRowHeight="14.5" x14ac:dyDescent="0.35"/>
  <cols>
    <col min="1" max="1" width="110.36328125" customWidth="1"/>
    <col min="2" max="2" width="12" customWidth="1"/>
  </cols>
  <sheetData>
    <row r="1" spans="1:1" x14ac:dyDescent="0.35">
      <c r="A1" s="35" t="s">
        <v>200</v>
      </c>
    </row>
    <row r="2" spans="1:1" x14ac:dyDescent="0.35">
      <c r="A2" s="36"/>
    </row>
    <row r="3" spans="1:1" ht="36" customHeight="1" x14ac:dyDescent="0.35">
      <c r="A3" s="35" t="s">
        <v>192</v>
      </c>
    </row>
    <row r="4" spans="1:1" ht="58.75" customHeight="1" x14ac:dyDescent="0.35">
      <c r="A4" s="36" t="s">
        <v>202</v>
      </c>
    </row>
    <row r="5" spans="1:1" ht="21.65" customHeight="1" x14ac:dyDescent="0.35">
      <c r="A5" s="36" t="s">
        <v>193</v>
      </c>
    </row>
    <row r="6" spans="1:1" ht="21.65" customHeight="1" x14ac:dyDescent="0.35">
      <c r="A6" s="36" t="s">
        <v>194</v>
      </c>
    </row>
    <row r="7" spans="1:1" ht="21" customHeight="1" x14ac:dyDescent="0.35">
      <c r="A7" s="36" t="s">
        <v>195</v>
      </c>
    </row>
    <row r="8" spans="1:1" ht="15" customHeight="1" x14ac:dyDescent="0.35">
      <c r="A8" s="36" t="s">
        <v>196</v>
      </c>
    </row>
    <row r="9" spans="1:1" x14ac:dyDescent="0.35">
      <c r="A9" s="36" t="s">
        <v>197</v>
      </c>
    </row>
    <row r="10" spans="1:1" x14ac:dyDescent="0.35">
      <c r="A10" s="36" t="s">
        <v>198</v>
      </c>
    </row>
    <row r="11" spans="1:1" x14ac:dyDescent="0.35">
      <c r="A11" s="36" t="s">
        <v>199</v>
      </c>
    </row>
    <row r="12" spans="1:1" x14ac:dyDescent="0.35">
      <c r="A12" s="36" t="s">
        <v>201</v>
      </c>
    </row>
    <row r="13" spans="1:1" x14ac:dyDescent="0.35">
      <c r="A13" s="36"/>
    </row>
  </sheetData>
  <pageMargins left="0.7" right="0.7" top="0.75" bottom="0.75" header="0.3" footer="0.3"/>
  <pageSetup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T26"/>
  <sheetViews>
    <sheetView workbookViewId="0">
      <selection activeCell="I16" sqref="I16"/>
    </sheetView>
  </sheetViews>
  <sheetFormatPr defaultRowHeight="14.5" x14ac:dyDescent="0.35"/>
  <cols>
    <col min="1" max="1" width="10.36328125" customWidth="1"/>
    <col min="2" max="2" width="13.08984375" customWidth="1"/>
    <col min="5" max="5" width="9.54296875" bestFit="1" customWidth="1"/>
  </cols>
  <sheetData>
    <row r="1" spans="1:20" x14ac:dyDescent="0.35">
      <c r="A1" t="str">
        <f ca="1">J8</f>
        <v>Mets</v>
      </c>
      <c r="B1">
        <v>3</v>
      </c>
      <c r="C1" s="21"/>
      <c r="D1" s="22" t="s">
        <v>2</v>
      </c>
      <c r="E1" s="23">
        <f>B1</f>
        <v>3</v>
      </c>
    </row>
    <row r="2" spans="1:20" x14ac:dyDescent="0.35">
      <c r="A2">
        <f ca="1">VLOOKUP(A1,R2:T5,3,0)</f>
        <v>4</v>
      </c>
      <c r="B2" s="3" t="s">
        <v>163</v>
      </c>
      <c r="C2" s="24"/>
      <c r="D2" t="s">
        <v>3</v>
      </c>
      <c r="E2" s="25">
        <f>C4*(1-C5)/(C4*(1-C5)+C5*(1-C4))</f>
        <v>0.57172131147540983</v>
      </c>
      <c r="H2" s="20"/>
      <c r="R2" t="s">
        <v>188</v>
      </c>
      <c r="S2">
        <v>0.62</v>
      </c>
      <c r="T2">
        <v>1</v>
      </c>
    </row>
    <row r="3" spans="1:20" ht="15" thickBot="1" x14ac:dyDescent="0.4">
      <c r="B3" s="3"/>
      <c r="C3" s="24"/>
      <c r="E3" s="25"/>
      <c r="H3" s="39" t="s">
        <v>173</v>
      </c>
      <c r="R3" t="s">
        <v>189</v>
      </c>
      <c r="S3">
        <v>0.55000000000000004</v>
      </c>
      <c r="T3">
        <v>2</v>
      </c>
    </row>
    <row r="4" spans="1:20" x14ac:dyDescent="0.35">
      <c r="B4" t="s">
        <v>188</v>
      </c>
      <c r="C4" s="26">
        <v>0.62</v>
      </c>
      <c r="E4" s="27"/>
      <c r="F4" s="3" t="s">
        <v>162</v>
      </c>
      <c r="G4" s="21"/>
      <c r="H4" s="22"/>
      <c r="I4" s="23">
        <f>B1</f>
        <v>3</v>
      </c>
      <c r="R4" t="s">
        <v>190</v>
      </c>
      <c r="S4">
        <v>0.57999999999999996</v>
      </c>
      <c r="T4">
        <v>3</v>
      </c>
    </row>
    <row r="5" spans="1:20" ht="15" thickBot="1" x14ac:dyDescent="0.4">
      <c r="B5" t="s">
        <v>189</v>
      </c>
      <c r="C5" s="28">
        <v>0.55000000000000004</v>
      </c>
      <c r="D5" s="29"/>
      <c r="E5" s="37">
        <f ca="1">_xlfn.BINOM.INV(E1,E2,RAND())</f>
        <v>3</v>
      </c>
      <c r="F5" s="2" t="str">
        <f ca="1">IF(E5&gt;=E1/2,B4,B5)</f>
        <v>Yankees</v>
      </c>
      <c r="G5" s="48">
        <f ca="1">VLOOKUP(F5,$R$2:$S$5,2,)</f>
        <v>0.62</v>
      </c>
      <c r="I5" s="47">
        <f ca="1">G5*(1-G8)/(G5*(1-G8)+G8*(1-G5))</f>
        <v>0.54159733777038277</v>
      </c>
      <c r="R5" t="s">
        <v>191</v>
      </c>
      <c r="S5">
        <v>0.57999999999999996</v>
      </c>
      <c r="T5">
        <v>4</v>
      </c>
    </row>
    <row r="6" spans="1:20" ht="15" thickBot="1" x14ac:dyDescent="0.4">
      <c r="C6" s="12"/>
      <c r="G6" s="24"/>
      <c r="I6" s="25"/>
    </row>
    <row r="7" spans="1:20" x14ac:dyDescent="0.35">
      <c r="C7" s="31"/>
      <c r="D7" s="22" t="s">
        <v>2</v>
      </c>
      <c r="E7" s="23">
        <f>B1</f>
        <v>3</v>
      </c>
      <c r="G7" s="24"/>
      <c r="I7" s="46"/>
      <c r="J7" s="3" t="s">
        <v>164</v>
      </c>
      <c r="Q7" s="48" t="s">
        <v>187</v>
      </c>
      <c r="R7" s="48" t="s">
        <v>188</v>
      </c>
      <c r="S7" s="48">
        <f>VLOOKUP(R7,$R$2:$T$5,2,)</f>
        <v>0.62</v>
      </c>
    </row>
    <row r="8" spans="1:20" ht="15" thickBot="1" x14ac:dyDescent="0.4">
      <c r="C8" s="32"/>
      <c r="D8" t="s">
        <v>3</v>
      </c>
      <c r="E8" s="25">
        <f>C10*(1-C11)/(C10*(1-C11)+C11*(1-C10))</f>
        <v>0.5</v>
      </c>
      <c r="G8" s="48">
        <f ca="1">VLOOKUP(F11,$R$2:$S$5,2,)</f>
        <v>0.57999999999999996</v>
      </c>
      <c r="H8" s="29"/>
      <c r="I8" s="37">
        <f ca="1">_xlfn.BINOM.INV(I4,I5,RAND())</f>
        <v>1</v>
      </c>
      <c r="J8" s="2" t="str">
        <f ca="1">IF(I8&gt;=I4/2,F5,F11)</f>
        <v>Mets</v>
      </c>
      <c r="K8" s="48">
        <f ca="1">VLOOKUP(J8,$R$2:$S$5,2,)</f>
        <v>0.57999999999999996</v>
      </c>
    </row>
    <row r="9" spans="1:20" x14ac:dyDescent="0.35">
      <c r="C9" s="32"/>
      <c r="E9" s="33"/>
      <c r="J9" s="15"/>
    </row>
    <row r="10" spans="1:20" x14ac:dyDescent="0.35">
      <c r="B10" t="s">
        <v>190</v>
      </c>
      <c r="C10" s="26">
        <v>0.57999999999999996</v>
      </c>
      <c r="E10" s="27"/>
      <c r="F10" s="3"/>
    </row>
    <row r="11" spans="1:20" ht="15" thickBot="1" x14ac:dyDescent="0.4">
      <c r="B11" t="s">
        <v>191</v>
      </c>
      <c r="C11" s="28">
        <v>0.57999999999999996</v>
      </c>
      <c r="D11" s="29"/>
      <c r="E11" s="37">
        <f ca="1">_xlfn.BINOM.INV(E7,E8,RAND())</f>
        <v>1</v>
      </c>
      <c r="F11" s="2" t="str">
        <f ca="1">IF(E11&gt;=E7/2,B10,B11)</f>
        <v>Mets</v>
      </c>
    </row>
    <row r="14" spans="1:20" x14ac:dyDescent="0.35">
      <c r="A14" s="40" t="s">
        <v>177</v>
      </c>
      <c r="B14" s="41">
        <f>E2^4+COMBIN(4,3)*E2^4*(1-E2)+COMBIN(5,3)*E2^4*(1-E2)^2+COMBIN(6,3)*(E2^4)*(1-E2)^3</f>
        <v>0.65370188388942796</v>
      </c>
    </row>
    <row r="20" spans="2:4" x14ac:dyDescent="0.35">
      <c r="B20" s="3"/>
      <c r="C20" s="3" t="s">
        <v>10</v>
      </c>
      <c r="D20" s="3" t="s">
        <v>11</v>
      </c>
    </row>
    <row r="21" spans="2:4" x14ac:dyDescent="0.35">
      <c r="B21" t="s">
        <v>188</v>
      </c>
      <c r="C21" s="3">
        <v>61</v>
      </c>
      <c r="D21" s="4">
        <f>C21/$C$26</f>
        <v>0.30499999999999999</v>
      </c>
    </row>
    <row r="22" spans="2:4" x14ac:dyDescent="0.35">
      <c r="B22" t="s">
        <v>189</v>
      </c>
      <c r="C22" s="1">
        <v>44</v>
      </c>
      <c r="D22" s="4">
        <f t="shared" ref="D22:D24" si="0">C22/$C$26</f>
        <v>0.22</v>
      </c>
    </row>
    <row r="23" spans="2:4" x14ac:dyDescent="0.35">
      <c r="B23" t="s">
        <v>190</v>
      </c>
      <c r="C23" s="1">
        <v>49</v>
      </c>
      <c r="D23" s="4">
        <f t="shared" si="0"/>
        <v>0.245</v>
      </c>
    </row>
    <row r="24" spans="2:4" x14ac:dyDescent="0.35">
      <c r="B24" t="s">
        <v>191</v>
      </c>
      <c r="C24" s="1">
        <v>46</v>
      </c>
      <c r="D24" s="4">
        <f t="shared" si="0"/>
        <v>0.23</v>
      </c>
    </row>
    <row r="25" spans="2:4" x14ac:dyDescent="0.35">
      <c r="B25" s="1"/>
      <c r="C25" s="1"/>
      <c r="D25" s="1"/>
    </row>
    <row r="26" spans="2:4" x14ac:dyDescent="0.35">
      <c r="B26" s="1"/>
      <c r="C26" s="1">
        <f>SUM(C21:C24)</f>
        <v>200</v>
      </c>
      <c r="D26" s="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M22"/>
  <sheetViews>
    <sheetView zoomScale="143" zoomScaleNormal="143" workbookViewId="0">
      <selection activeCell="F19" sqref="F19"/>
    </sheetView>
  </sheetViews>
  <sheetFormatPr defaultRowHeight="14.5" x14ac:dyDescent="0.35"/>
  <cols>
    <col min="7" max="8" width="9.81640625" customWidth="1"/>
    <col min="9" max="9" width="10.90625" customWidth="1"/>
  </cols>
  <sheetData>
    <row r="1" spans="1:13" x14ac:dyDescent="0.35">
      <c r="A1" s="11" t="s">
        <v>203</v>
      </c>
      <c r="C1" t="s">
        <v>6</v>
      </c>
      <c r="D1" t="s">
        <v>7</v>
      </c>
      <c r="E1" t="s">
        <v>8</v>
      </c>
      <c r="G1" t="s">
        <v>209</v>
      </c>
      <c r="H1" t="s">
        <v>210</v>
      </c>
      <c r="I1" t="s">
        <v>211</v>
      </c>
    </row>
    <row r="2" spans="1:13" x14ac:dyDescent="0.35">
      <c r="A2" t="s">
        <v>6</v>
      </c>
      <c r="B2" s="38">
        <v>0.65</v>
      </c>
      <c r="G2">
        <f ca="1">COUNTIF(C$2:$E$5,A2)</f>
        <v>1</v>
      </c>
      <c r="H2" s="54">
        <f ca="1">RANK(G2,$G$2:$G$5,0)+0.1*RAND()</f>
        <v>3.0624100903995326</v>
      </c>
      <c r="I2" s="54">
        <f ca="1">RANK(H2,$H$2:$H$5,1)</f>
        <v>4</v>
      </c>
      <c r="J2" s="54" t="s">
        <v>6</v>
      </c>
    </row>
    <row r="3" spans="1:13" x14ac:dyDescent="0.35">
      <c r="A3" t="s">
        <v>7</v>
      </c>
      <c r="B3" s="38">
        <v>0.6</v>
      </c>
      <c r="C3" s="49" t="str">
        <f ca="1">IF(RAND()&lt;C16,$A2,$A3)</f>
        <v>B</v>
      </c>
      <c r="G3">
        <f ca="1">COUNTIF(C$2:$E$5,A3)</f>
        <v>2</v>
      </c>
      <c r="H3" s="54">
        <f t="shared" ref="H3:H5" ca="1" si="0">RANK(G3,$G$2:$G$5,0)+0.1*RAND()</f>
        <v>1.0846243815783112</v>
      </c>
      <c r="I3" s="54">
        <f t="shared" ref="I3:I5" ca="1" si="1">RANK(H3,$H$2:$H$5,1)</f>
        <v>2</v>
      </c>
      <c r="J3" s="54" t="s">
        <v>7</v>
      </c>
      <c r="L3" t="str">
        <f ca="1">VLOOKUP(1,$I$2:$J$5,2,0)</f>
        <v>D</v>
      </c>
      <c r="M3">
        <f>INDEX($A$2:$B$5,1,2)</f>
        <v>0.65</v>
      </c>
    </row>
    <row r="4" spans="1:13" x14ac:dyDescent="0.35">
      <c r="A4" t="s">
        <v>8</v>
      </c>
      <c r="B4" s="38">
        <v>0.55000000000000004</v>
      </c>
      <c r="C4" s="49" t="str">
        <f ca="1">IF(RAND()&lt;C17,$A2,$A4)</f>
        <v>A</v>
      </c>
      <c r="D4" s="49" t="str">
        <f ca="1">IF(RAND()&lt;D17,$A3,$A4)</f>
        <v>C</v>
      </c>
      <c r="G4">
        <f ca="1">COUNTIF(C$2:$E$5,A4)</f>
        <v>1</v>
      </c>
      <c r="H4" s="54">
        <f t="shared" ca="1" si="0"/>
        <v>3.0372155474416149</v>
      </c>
      <c r="I4" s="54">
        <f t="shared" ca="1" si="1"/>
        <v>3</v>
      </c>
      <c r="J4" s="54" t="s">
        <v>8</v>
      </c>
    </row>
    <row r="5" spans="1:13" x14ac:dyDescent="0.35">
      <c r="A5" t="s">
        <v>9</v>
      </c>
      <c r="B5" s="38">
        <v>0.5</v>
      </c>
      <c r="C5" s="49" t="str">
        <f ca="1">IF(RAND()&lt;C18,$A2,$A5)</f>
        <v>D</v>
      </c>
      <c r="D5" s="49" t="str">
        <f ca="1">IF(RAND()&lt;D18,$A3,$A5)</f>
        <v>B</v>
      </c>
      <c r="E5" s="49" t="str">
        <f ca="1">IF(RAND()&lt;E18,$A4,$A5)</f>
        <v>D</v>
      </c>
      <c r="G5">
        <f ca="1">COUNTIF(C$2:$E$5,A5)</f>
        <v>2</v>
      </c>
      <c r="H5" s="54">
        <f t="shared" ca="1" si="0"/>
        <v>1.0277473824095891</v>
      </c>
      <c r="I5" s="54">
        <f t="shared" ca="1" si="1"/>
        <v>1</v>
      </c>
      <c r="J5" s="54" t="s">
        <v>9</v>
      </c>
      <c r="L5" t="str">
        <f ca="1">VLOOKUP(4,$I$2:$J$5,2,0)</f>
        <v>A</v>
      </c>
      <c r="M5">
        <f>INDEX($A$2:$B$5,4,2)</f>
        <v>0.5</v>
      </c>
    </row>
    <row r="7" spans="1:13" x14ac:dyDescent="0.35">
      <c r="A7" s="11" t="s">
        <v>203</v>
      </c>
      <c r="C7" t="s">
        <v>6</v>
      </c>
      <c r="D7" t="s">
        <v>7</v>
      </c>
      <c r="E7" t="s">
        <v>8</v>
      </c>
      <c r="G7" t="s">
        <v>209</v>
      </c>
      <c r="H7" t="s">
        <v>210</v>
      </c>
      <c r="I7" t="s">
        <v>211</v>
      </c>
    </row>
    <row r="8" spans="1:13" x14ac:dyDescent="0.35">
      <c r="A8" t="s">
        <v>6</v>
      </c>
      <c r="B8" s="38">
        <v>0.65</v>
      </c>
      <c r="G8">
        <f ca="1">COUNTIF(C$2:$E$5,A8)</f>
        <v>1</v>
      </c>
      <c r="H8" s="54">
        <f ca="1">RANK(G8,$G$2:$G$5,0)+0.1*RAND()</f>
        <v>3.0341066461228978</v>
      </c>
      <c r="I8" s="54" t="e">
        <f ca="1">RANK(H8,$H$2:$H$5,1)</f>
        <v>#N/A</v>
      </c>
      <c r="J8" s="54" t="s">
        <v>6</v>
      </c>
    </row>
    <row r="9" spans="1:13" x14ac:dyDescent="0.35">
      <c r="A9" t="s">
        <v>7</v>
      </c>
      <c r="B9" s="38">
        <v>0.6</v>
      </c>
      <c r="C9" s="49" t="str">
        <f ca="1">IF(RAND()&lt;C22,$A8,$A9)</f>
        <v>B</v>
      </c>
      <c r="G9">
        <f ca="1">COUNTIF(C$2:$E$5,A9)</f>
        <v>2</v>
      </c>
      <c r="H9" s="54">
        <f t="shared" ref="H9:H11" ca="1" si="2">RANK(G9,$G$2:$G$5,0)+0.1*RAND()</f>
        <v>1.0345171294868101</v>
      </c>
      <c r="I9" s="54" t="e">
        <f t="shared" ref="I9:I11" ca="1" si="3">RANK(H9,$H$2:$H$5,1)</f>
        <v>#N/A</v>
      </c>
      <c r="J9" s="54" t="s">
        <v>7</v>
      </c>
      <c r="L9" t="str">
        <f ca="1">VLOOKUP(1,$I$2:$J$5,2,0)</f>
        <v>D</v>
      </c>
      <c r="M9">
        <f>INDEX($A$2:$B$5,1,2)</f>
        <v>0.65</v>
      </c>
    </row>
    <row r="10" spans="1:13" x14ac:dyDescent="0.35">
      <c r="A10" t="s">
        <v>8</v>
      </c>
      <c r="B10" s="38">
        <v>0.55000000000000004</v>
      </c>
      <c r="C10" s="49" t="str">
        <f ca="1">IF(RAND()&lt;C23,$A8,$A10)</f>
        <v>C</v>
      </c>
      <c r="D10" s="49" t="str">
        <f ca="1">IF(RAND()&lt;D23,$A9,$A10)</f>
        <v>C</v>
      </c>
      <c r="G10">
        <f ca="1">COUNTIF(C$2:$E$5,A10)</f>
        <v>1</v>
      </c>
      <c r="H10" s="54">
        <f t="shared" ca="1" si="2"/>
        <v>3.0736389214898887</v>
      </c>
      <c r="I10" s="54" t="e">
        <f t="shared" ca="1" si="3"/>
        <v>#N/A</v>
      </c>
      <c r="J10" s="54" t="s">
        <v>8</v>
      </c>
    </row>
    <row r="11" spans="1:13" x14ac:dyDescent="0.35">
      <c r="A11" t="s">
        <v>9</v>
      </c>
      <c r="B11" s="38">
        <v>0.5</v>
      </c>
      <c r="C11" s="49" t="str">
        <f ca="1">IF(RAND()&lt;C24,$A8,$A11)</f>
        <v>D</v>
      </c>
      <c r="D11" s="49" t="str">
        <f ca="1">IF(RAND()&lt;D24,$A9,$A11)</f>
        <v>D</v>
      </c>
      <c r="E11" s="49" t="str">
        <f ca="1">IF(RAND()&lt;E24,$A10,$A11)</f>
        <v>D</v>
      </c>
      <c r="G11">
        <f ca="1">COUNTIF(C$2:$E$5,A11)</f>
        <v>2</v>
      </c>
      <c r="H11" s="54">
        <f t="shared" ca="1" si="2"/>
        <v>1.0481853286581122</v>
      </c>
      <c r="I11" s="54" t="e">
        <f t="shared" ca="1" si="3"/>
        <v>#N/A</v>
      </c>
      <c r="J11" s="54" t="s">
        <v>9</v>
      </c>
      <c r="L11" t="str">
        <f ca="1">VLOOKUP(4,$I$2:$J$5,2,0)</f>
        <v>A</v>
      </c>
      <c r="M11">
        <f>INDEX($A$2:$B$5,4,2)</f>
        <v>0.5</v>
      </c>
    </row>
    <row r="13" spans="1:13" ht="15" thickBot="1" x14ac:dyDescent="0.4"/>
    <row r="14" spans="1:13" x14ac:dyDescent="0.35">
      <c r="A14" s="50" t="s">
        <v>204</v>
      </c>
      <c r="B14" s="42"/>
      <c r="C14" s="11" t="s">
        <v>3</v>
      </c>
    </row>
    <row r="15" spans="1:13" x14ac:dyDescent="0.35">
      <c r="A15" s="24" t="s">
        <v>6</v>
      </c>
      <c r="B15" s="51">
        <v>0.62</v>
      </c>
    </row>
    <row r="16" spans="1:13" x14ac:dyDescent="0.35">
      <c r="A16" s="24" t="s">
        <v>7</v>
      </c>
      <c r="B16" s="51">
        <v>0.55000000000000004</v>
      </c>
      <c r="C16" s="52">
        <f>$B15*(1-$B16)/($B15*(1-$B16)+$B16*(1-$B15))</f>
        <v>0.57172131147540983</v>
      </c>
    </row>
    <row r="17" spans="1:5" x14ac:dyDescent="0.35">
      <c r="A17" s="24" t="s">
        <v>8</v>
      </c>
      <c r="B17" s="51">
        <v>0.57999999999999996</v>
      </c>
      <c r="C17" s="52">
        <f>$B15*(1-$B17)/($B15*(1-$B17)+$B17*(1-$B15))</f>
        <v>0.54159733777038277</v>
      </c>
      <c r="D17" s="52">
        <f>$B16*(1-$B17)/($B16*(1-$B17)+$B17*(1-$B16))</f>
        <v>0.4695121951219513</v>
      </c>
    </row>
    <row r="18" spans="1:5" x14ac:dyDescent="0.35">
      <c r="A18" s="24" t="s">
        <v>9</v>
      </c>
      <c r="B18" s="51">
        <v>0.57999999999999996</v>
      </c>
      <c r="C18" s="52">
        <f>$B15*(1-$B18)/($B15*(1-$B18)+$B18*(1-$B15))</f>
        <v>0.54159733777038277</v>
      </c>
      <c r="D18" s="52">
        <f>$B16*(1-$B18)/($B16*(1-$B18)+$B18*(1-$B16))</f>
        <v>0.4695121951219513</v>
      </c>
      <c r="E18" s="52">
        <f>$B17*(1-$B18)/($B17*(1-$B18)+$B18*(1-$B17))</f>
        <v>0.5</v>
      </c>
    </row>
    <row r="19" spans="1:5" x14ac:dyDescent="0.35">
      <c r="A19" s="24" t="s">
        <v>205</v>
      </c>
      <c r="B19" s="51">
        <v>0.8</v>
      </c>
    </row>
    <row r="20" spans="1:5" x14ac:dyDescent="0.35">
      <c r="A20" s="24" t="s">
        <v>206</v>
      </c>
      <c r="B20" s="51">
        <v>0.4</v>
      </c>
      <c r="C20" s="52">
        <f>$B19*(1-$B20)/($B19*(1-$B20)+$B20*(1-$B19))</f>
        <v>0.85714285714285721</v>
      </c>
    </row>
    <row r="21" spans="1:5" x14ac:dyDescent="0.35">
      <c r="A21" s="24" t="s">
        <v>207</v>
      </c>
      <c r="B21" s="51">
        <v>0.6</v>
      </c>
      <c r="C21" s="52">
        <f>$B19*(1-$B21)/($B19*(1-$B21)+$B21*(1-$B19))</f>
        <v>0.72727272727272729</v>
      </c>
      <c r="D21" s="52">
        <f>$B20*(1-$B21)/($B20*(1-$B21)+$B21*(1-$B20))</f>
        <v>0.30769230769230776</v>
      </c>
    </row>
    <row r="22" spans="1:5" ht="15" thickBot="1" x14ac:dyDescent="0.4">
      <c r="A22" s="34" t="s">
        <v>208</v>
      </c>
      <c r="B22" s="53">
        <v>0.5</v>
      </c>
      <c r="C22" s="52">
        <f>$B19*(1-$B22)/($B19*(1-$B22)+$B22*(1-$B19))</f>
        <v>0.8</v>
      </c>
      <c r="D22" s="52">
        <f>$B20*(1-$B22)/($B20*(1-$B22)+$B22*(1-$B20))</f>
        <v>0.4</v>
      </c>
      <c r="E22" s="52">
        <f>$B21*(1-$B22)/($B21*(1-$B22)+$B22*(1-$B21))</f>
        <v>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2:L17"/>
  <sheetViews>
    <sheetView workbookViewId="0">
      <selection activeCell="J14" sqref="J14"/>
    </sheetView>
  </sheetViews>
  <sheetFormatPr defaultRowHeight="14.5" x14ac:dyDescent="0.35"/>
  <cols>
    <col min="12" max="12" width="25" customWidth="1"/>
  </cols>
  <sheetData>
    <row r="2" spans="3:12" x14ac:dyDescent="0.35">
      <c r="C2" t="s">
        <v>0</v>
      </c>
      <c r="D2" s="38">
        <v>0.7</v>
      </c>
      <c r="F2" t="s">
        <v>172</v>
      </c>
      <c r="H2" s="17">
        <f>D2*(1-D3)/(D2*(1-D3)+(1-D2)*D3)</f>
        <v>0.60869565217391308</v>
      </c>
    </row>
    <row r="3" spans="3:12" x14ac:dyDescent="0.35">
      <c r="C3" t="s">
        <v>1</v>
      </c>
      <c r="D3" s="38">
        <v>0.6</v>
      </c>
      <c r="F3" t="s">
        <v>174</v>
      </c>
      <c r="H3" s="17">
        <f>D3*(1-D4)/(D3*(1-D4)+(1-D3)*D4)</f>
        <v>0.69230769230769229</v>
      </c>
    </row>
    <row r="4" spans="3:12" x14ac:dyDescent="0.35">
      <c r="C4" t="s">
        <v>4</v>
      </c>
      <c r="D4" s="38">
        <v>0.4</v>
      </c>
      <c r="F4" t="s">
        <v>175</v>
      </c>
      <c r="H4" s="4"/>
      <c r="I4" s="3" t="s">
        <v>173</v>
      </c>
    </row>
    <row r="6" spans="3:12" ht="15" thickBot="1" x14ac:dyDescent="0.4"/>
    <row r="7" spans="3:12" x14ac:dyDescent="0.35">
      <c r="H7" t="s">
        <v>176</v>
      </c>
      <c r="I7" s="21" t="s">
        <v>184</v>
      </c>
      <c r="J7" s="22"/>
      <c r="K7" s="22"/>
      <c r="L7" s="42"/>
    </row>
    <row r="8" spans="3:12" x14ac:dyDescent="0.35">
      <c r="H8" t="s">
        <v>182</v>
      </c>
      <c r="I8" s="24"/>
      <c r="L8" s="33"/>
    </row>
    <row r="9" spans="3:12" x14ac:dyDescent="0.35">
      <c r="I9" s="24" t="s">
        <v>178</v>
      </c>
      <c r="J9">
        <f>H2^4</f>
        <v>0.1372779542668873</v>
      </c>
      <c r="L9" s="33"/>
    </row>
    <row r="10" spans="3:12" x14ac:dyDescent="0.35">
      <c r="I10" s="24" t="s">
        <v>179</v>
      </c>
      <c r="J10">
        <f>(H2^4)*(1-H2)^1*COMBIN(4,1)</f>
        <v>0.21486984146121488</v>
      </c>
      <c r="L10" s="33"/>
    </row>
    <row r="11" spans="3:12" x14ac:dyDescent="0.35">
      <c r="I11" s="24" t="s">
        <v>180</v>
      </c>
      <c r="J11">
        <f>(H2^4)*(1-H2)^2*COMBIN(5,2)</f>
        <v>0.21019875795118842</v>
      </c>
      <c r="L11" s="33"/>
    </row>
    <row r="12" spans="3:12" x14ac:dyDescent="0.35">
      <c r="I12" s="24" t="s">
        <v>181</v>
      </c>
      <c r="J12">
        <f>(H2^4)*(1-H2)^3*COMBIN(6,3)</f>
        <v>0.1645033757878866</v>
      </c>
      <c r="L12" s="33"/>
    </row>
    <row r="13" spans="3:12" x14ac:dyDescent="0.35">
      <c r="I13" s="24"/>
      <c r="L13" s="33"/>
    </row>
    <row r="14" spans="3:12" ht="15" thickBot="1" x14ac:dyDescent="0.4">
      <c r="I14" s="34"/>
      <c r="J14" s="43">
        <f>SUM(J9:J12)</f>
        <v>0.7268499294671773</v>
      </c>
      <c r="K14" s="29" t="s">
        <v>185</v>
      </c>
      <c r="L14" s="30"/>
    </row>
    <row r="15" spans="3:12" ht="15" thickBot="1" x14ac:dyDescent="0.4"/>
    <row r="16" spans="3:12" x14ac:dyDescent="0.35">
      <c r="I16" s="44" t="s">
        <v>183</v>
      </c>
      <c r="J16" s="45">
        <f ca="1">_xlfn.BINOM.INV(7,H2,RAND())</f>
        <v>6</v>
      </c>
      <c r="K16" s="22"/>
      <c r="L16" s="42"/>
    </row>
    <row r="17" spans="9:12" ht="15" thickBot="1" x14ac:dyDescent="0.4">
      <c r="I17" s="34"/>
      <c r="J17" s="29" t="s">
        <v>186</v>
      </c>
      <c r="K17" s="29"/>
      <c r="L17" s="3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U61"/>
  <sheetViews>
    <sheetView topLeftCell="C4" zoomScale="117" zoomScaleNormal="146" workbookViewId="0">
      <selection activeCell="P11" sqref="P11"/>
    </sheetView>
  </sheetViews>
  <sheetFormatPr defaultRowHeight="14.5" x14ac:dyDescent="0.35"/>
  <cols>
    <col min="6" max="6" width="6.453125" customWidth="1"/>
    <col min="7" max="7" width="6.36328125" customWidth="1"/>
    <col min="8" max="8" width="13.08984375" customWidth="1"/>
    <col min="11" max="11" width="9.54296875" bestFit="1" customWidth="1"/>
  </cols>
  <sheetData>
    <row r="1" spans="1:21" x14ac:dyDescent="0.35">
      <c r="A1" s="11" t="s">
        <v>203</v>
      </c>
      <c r="C1" t="s">
        <v>6</v>
      </c>
      <c r="D1" t="s">
        <v>7</v>
      </c>
      <c r="E1" t="s">
        <v>8</v>
      </c>
      <c r="I1" s="21"/>
      <c r="J1" s="22" t="s">
        <v>2</v>
      </c>
      <c r="K1" s="23">
        <v>1</v>
      </c>
    </row>
    <row r="2" spans="1:21" x14ac:dyDescent="0.35">
      <c r="A2" t="s">
        <v>6</v>
      </c>
      <c r="B2" s="38">
        <v>0.65</v>
      </c>
      <c r="H2" s="3" t="s">
        <v>163</v>
      </c>
      <c r="I2" s="24"/>
      <c r="J2" t="s">
        <v>3</v>
      </c>
      <c r="K2" s="25">
        <f ca="1">I4*(1-I5)/(I4*(1-I5)+I5*(1-I4))</f>
        <v>0.70992366412213737</v>
      </c>
      <c r="N2" s="20"/>
    </row>
    <row r="3" spans="1:21" ht="15" thickBot="1" x14ac:dyDescent="0.4">
      <c r="A3" t="s">
        <v>7</v>
      </c>
      <c r="B3" s="38">
        <v>0.6</v>
      </c>
      <c r="C3" s="49" t="str">
        <f ca="1">IF(RAND()&lt;C16,$A2,$A3)</f>
        <v>A</v>
      </c>
      <c r="H3" s="3"/>
      <c r="I3" s="24"/>
      <c r="K3" s="25"/>
      <c r="M3" s="1" t="s">
        <v>173</v>
      </c>
      <c r="N3" s="17"/>
    </row>
    <row r="4" spans="1:21" x14ac:dyDescent="0.35">
      <c r="A4" t="s">
        <v>8</v>
      </c>
      <c r="B4" s="38">
        <v>0.55000000000000004</v>
      </c>
      <c r="C4" s="49" t="str">
        <f ca="1">IF(RAND()&lt;C17,$A2,$A4)</f>
        <v>C</v>
      </c>
      <c r="D4" s="49" t="str">
        <f ca="1">IF(RAND()&lt;D17,$A3,$A4)</f>
        <v>B</v>
      </c>
      <c r="H4" t="str">
        <f ca="1">C26</f>
        <v>A</v>
      </c>
      <c r="I4" s="26">
        <f ca="1">VLOOKUP(H4,$N$27:$O$34,2,0)</f>
        <v>0.62</v>
      </c>
      <c r="K4" s="27"/>
      <c r="L4" s="3" t="s">
        <v>162</v>
      </c>
      <c r="M4" s="21"/>
      <c r="N4" s="22" t="s">
        <v>2</v>
      </c>
      <c r="O4" s="23">
        <v>1</v>
      </c>
    </row>
    <row r="5" spans="1:21" ht="15" thickBot="1" x14ac:dyDescent="0.4">
      <c r="A5" t="s">
        <v>9</v>
      </c>
      <c r="B5" s="38">
        <v>0.5</v>
      </c>
      <c r="C5" s="49" t="str">
        <f ca="1">IF(RAND()&lt;C18,$A2,$A5)</f>
        <v>A</v>
      </c>
      <c r="D5" s="49" t="str">
        <f ca="1">IF(RAND()&lt;D18,$A3,$A5)</f>
        <v>B</v>
      </c>
      <c r="E5" s="49" t="str">
        <f ca="1">IF(RAND()&lt;E18,$A4,$A5)</f>
        <v>C</v>
      </c>
      <c r="H5" t="str">
        <f ca="1">C35</f>
        <v>F</v>
      </c>
      <c r="I5" s="26">
        <f ca="1">VLOOKUP(H5,$N$27:$O$34,2,0)</f>
        <v>0.4</v>
      </c>
      <c r="J5" s="29"/>
      <c r="K5" s="37">
        <f ca="1">_xlfn.BINOM.INV(K1,K2,RAND())</f>
        <v>1</v>
      </c>
      <c r="L5" s="2" t="str">
        <f ca="1">IF(K5&gt;=K1/2,H4,H5)</f>
        <v>A</v>
      </c>
      <c r="M5" s="24"/>
      <c r="N5" t="s">
        <v>3</v>
      </c>
      <c r="O5" s="25">
        <f ca="1">M7*(1-M8)/(M7*(1-M8)+M8*(1-M7))</f>
        <v>0.52100840336134457</v>
      </c>
    </row>
    <row r="6" spans="1:21" ht="15" thickBot="1" x14ac:dyDescent="0.4">
      <c r="I6" s="12"/>
      <c r="M6" s="24" t="s">
        <v>212</v>
      </c>
      <c r="O6" s="25"/>
    </row>
    <row r="7" spans="1:21" x14ac:dyDescent="0.35">
      <c r="A7" s="11" t="s">
        <v>213</v>
      </c>
      <c r="C7" t="s">
        <v>205</v>
      </c>
      <c r="D7" t="s">
        <v>206</v>
      </c>
      <c r="E7" t="s">
        <v>207</v>
      </c>
      <c r="I7" s="31"/>
      <c r="J7" s="22" t="s">
        <v>2</v>
      </c>
      <c r="K7" s="23">
        <f>K1</f>
        <v>1</v>
      </c>
      <c r="M7" s="26">
        <f ca="1">VLOOKUP(L5,$N$27:$O$34,2,0)</f>
        <v>0.62</v>
      </c>
      <c r="O7" s="27" t="s">
        <v>165</v>
      </c>
      <c r="P7" s="3" t="s">
        <v>164</v>
      </c>
    </row>
    <row r="8" spans="1:21" ht="15" thickBot="1" x14ac:dyDescent="0.4">
      <c r="A8" t="s">
        <v>205</v>
      </c>
      <c r="B8" s="12">
        <v>0.8</v>
      </c>
      <c r="I8" s="32"/>
      <c r="J8" t="s">
        <v>3</v>
      </c>
      <c r="K8" s="25">
        <f ca="1">I10*(1-I11)/(I10*(1-I11)+I11*(1-I10))</f>
        <v>0.47933884297520657</v>
      </c>
      <c r="M8" s="26">
        <f ca="1">VLOOKUP(L11,$N$27:$O$34,2,1)</f>
        <v>0.6</v>
      </c>
      <c r="N8" s="29"/>
      <c r="O8" s="37">
        <f ca="1">_xlfn.BINOM.INV(O4,O5,RAND())</f>
        <v>1</v>
      </c>
      <c r="P8" s="2" t="str">
        <f ca="1">IF(O8&gt;=O4/2,L5,L11)</f>
        <v>A</v>
      </c>
    </row>
    <row r="9" spans="1:21" x14ac:dyDescent="0.35">
      <c r="A9" t="s">
        <v>206</v>
      </c>
      <c r="B9" s="12">
        <v>0.4</v>
      </c>
      <c r="C9" s="49" t="str">
        <f ca="1">IF(RAND()&lt;C20,$A8,$A9)</f>
        <v>E</v>
      </c>
      <c r="I9" s="32"/>
      <c r="K9" s="33"/>
      <c r="P9" s="15"/>
    </row>
    <row r="10" spans="1:21" ht="15" thickBot="1" x14ac:dyDescent="0.4">
      <c r="A10" t="s">
        <v>207</v>
      </c>
      <c r="B10" s="12">
        <v>0.6</v>
      </c>
      <c r="C10" s="49" t="str">
        <f ca="1">IF(RAND()&lt;C21,$A8,$A10)</f>
        <v>E</v>
      </c>
      <c r="D10" s="49" t="str">
        <f ca="1">IF(RAND()&lt;D21,$A9,$A10)</f>
        <v>G</v>
      </c>
      <c r="H10" t="str">
        <f ca="1">C27</f>
        <v>C</v>
      </c>
      <c r="I10" s="26">
        <f t="shared" ref="I10:I11" ca="1" si="0">VLOOKUP(H10,$N$27:$O$34,2,0)</f>
        <v>0.57999999999999996</v>
      </c>
      <c r="K10" s="27"/>
    </row>
    <row r="11" spans="1:21" ht="15" thickBot="1" x14ac:dyDescent="0.4">
      <c r="A11" t="s">
        <v>208</v>
      </c>
      <c r="B11" s="12">
        <v>0.5</v>
      </c>
      <c r="C11" s="49" t="str">
        <f ca="1">IF(RAND()&lt;C22,$A8,$A11)</f>
        <v>E</v>
      </c>
      <c r="D11" s="49" t="str">
        <f ca="1">IF(RAND()&lt;D22,$A9,$A11)</f>
        <v>H</v>
      </c>
      <c r="E11" s="49" t="str">
        <f ca="1">IF(RAND()&lt;E22,$A10,$A11)</f>
        <v>H</v>
      </c>
      <c r="H11" t="str">
        <f ca="1">C34</f>
        <v>G</v>
      </c>
      <c r="I11" s="26">
        <f t="shared" ca="1" si="0"/>
        <v>0.6</v>
      </c>
      <c r="J11" s="29"/>
      <c r="K11" s="37">
        <f ca="1">_xlfn.BINOM.INV(K7,K8,RAND())</f>
        <v>0</v>
      </c>
      <c r="L11" s="2" t="str">
        <f ca="1">IF(K11&gt;=K7/2,H10,H11)</f>
        <v>G</v>
      </c>
      <c r="Q11" s="21"/>
      <c r="R11" s="22" t="s">
        <v>2</v>
      </c>
      <c r="S11" s="23">
        <v>1</v>
      </c>
    </row>
    <row r="12" spans="1:21" ht="15" thickBot="1" x14ac:dyDescent="0.4">
      <c r="Q12" s="24"/>
      <c r="R12" t="s">
        <v>3</v>
      </c>
      <c r="S12" s="25">
        <f ca="1">Q14*(1-Q15)/(Q14*(1-Q15)+Q15*(1-Q14))</f>
        <v>0.62</v>
      </c>
    </row>
    <row r="13" spans="1:21" ht="15" thickBot="1" x14ac:dyDescent="0.4">
      <c r="I13" s="21"/>
      <c r="J13" s="22" t="s">
        <v>2</v>
      </c>
      <c r="K13" s="23">
        <f>K7</f>
        <v>1</v>
      </c>
      <c r="Q13" s="24" t="s">
        <v>212</v>
      </c>
      <c r="S13" s="25"/>
    </row>
    <row r="14" spans="1:21" x14ac:dyDescent="0.35">
      <c r="A14" s="50" t="s">
        <v>204</v>
      </c>
      <c r="B14" s="42"/>
      <c r="C14" s="11" t="s">
        <v>3</v>
      </c>
      <c r="H14" s="3" t="s">
        <v>163</v>
      </c>
      <c r="I14" s="24"/>
      <c r="J14" t="s">
        <v>3</v>
      </c>
      <c r="K14" s="25">
        <f ca="1">I16*(1-I17)/(I16*(1-I17)+I17*(1-I16))</f>
        <v>0.55000000000000004</v>
      </c>
      <c r="N14" s="20"/>
      <c r="Q14" s="26">
        <f ca="1">VLOOKUP(P8,$N$27:$O$34,2,1)</f>
        <v>0.62</v>
      </c>
      <c r="S14" s="27" t="s">
        <v>165</v>
      </c>
      <c r="T14" s="3" t="s">
        <v>164</v>
      </c>
    </row>
    <row r="15" spans="1:21" ht="15" thickBot="1" x14ac:dyDescent="0.4">
      <c r="A15" s="24" t="s">
        <v>6</v>
      </c>
      <c r="B15" s="51">
        <v>0.62</v>
      </c>
      <c r="H15" s="3"/>
      <c r="I15" s="24" t="s">
        <v>212</v>
      </c>
      <c r="K15" s="25"/>
      <c r="M15" s="1" t="s">
        <v>173</v>
      </c>
      <c r="N15" s="17"/>
      <c r="Q15" s="26">
        <f ca="1">VLOOKUP(P20,$N$27:$O$34,2,1)</f>
        <v>0.5</v>
      </c>
      <c r="R15" s="29"/>
      <c r="S15" s="37">
        <f ca="1">_xlfn.BINOM.INV(S11,S12,RAND())</f>
        <v>1</v>
      </c>
      <c r="T15" s="2" t="str">
        <f ca="1">IF(S15&gt;S11/2,P8,P20)</f>
        <v>A</v>
      </c>
      <c r="U15">
        <f ca="1">MATCH(P20,N27:N34,0)</f>
        <v>8</v>
      </c>
    </row>
    <row r="16" spans="1:21" x14ac:dyDescent="0.35">
      <c r="A16" s="24" t="s">
        <v>7</v>
      </c>
      <c r="B16" s="51">
        <v>0.55000000000000004</v>
      </c>
      <c r="C16" s="52">
        <f>$B15*(1-$B16)/($B15*(1-$B16)+$B16*(1-$B15))</f>
        <v>0.57172131147540983</v>
      </c>
      <c r="H16" t="str">
        <f ca="1">C28</f>
        <v>B</v>
      </c>
      <c r="I16" s="26">
        <f t="shared" ref="I16:I17" ca="1" si="1">VLOOKUP(H16,$N$27:$O$34,2,0)</f>
        <v>0.55000000000000004</v>
      </c>
      <c r="K16" s="27"/>
      <c r="L16" s="3" t="s">
        <v>162</v>
      </c>
      <c r="M16" s="21"/>
      <c r="N16" s="22" t="s">
        <v>2</v>
      </c>
      <c r="O16" s="23">
        <f>O4</f>
        <v>1</v>
      </c>
    </row>
    <row r="17" spans="1:16" ht="15" thickBot="1" x14ac:dyDescent="0.4">
      <c r="A17" s="24" t="s">
        <v>8</v>
      </c>
      <c r="B17" s="51">
        <v>0.57999999999999996</v>
      </c>
      <c r="C17" s="52">
        <f>$B15*(1-$B17)/($B15*(1-$B17)+$B17*(1-$B15))</f>
        <v>0.54159733777038277</v>
      </c>
      <c r="D17" s="52">
        <f>$B16*(1-$B17)/($B16*(1-$B17)+$B17*(1-$B16))</f>
        <v>0.4695121951219513</v>
      </c>
      <c r="H17" t="str">
        <f ca="1">C33</f>
        <v>H</v>
      </c>
      <c r="I17" s="26">
        <f t="shared" ca="1" si="1"/>
        <v>0.5</v>
      </c>
      <c r="J17" s="29"/>
      <c r="K17" s="37">
        <f ca="1">_xlfn.BINOM.INV(K13,K14,RAND())</f>
        <v>0</v>
      </c>
      <c r="L17" s="2" t="str">
        <f ca="1">IF(K17&gt;=K13/2,H16,H17)</f>
        <v>H</v>
      </c>
      <c r="M17" s="24"/>
      <c r="N17" t="s">
        <v>3</v>
      </c>
      <c r="O17" s="25">
        <f ca="1">M19*(1-M20)/(M19*(1-M20)+M20*(1-M19))</f>
        <v>0.42000000000000004</v>
      </c>
    </row>
    <row r="18" spans="1:16" ht="15" thickBot="1" x14ac:dyDescent="0.4">
      <c r="A18" s="24" t="s">
        <v>9</v>
      </c>
      <c r="B18" s="51">
        <v>0.57999999999999996</v>
      </c>
      <c r="C18" s="52">
        <f>$B15*(1-$B18)/($B15*(1-$B18)+$B18*(1-$B15))</f>
        <v>0.54159733777038277</v>
      </c>
      <c r="D18" s="52">
        <f>$B16*(1-$B18)/($B16*(1-$B18)+$B18*(1-$B16))</f>
        <v>0.4695121951219513</v>
      </c>
      <c r="E18" s="52">
        <f>$B17*(1-$B18)/($B17*(1-$B18)+$B18*(1-$B17))</f>
        <v>0.5</v>
      </c>
      <c r="I18" s="12"/>
      <c r="M18" s="24" t="s">
        <v>212</v>
      </c>
      <c r="O18" s="25"/>
    </row>
    <row r="19" spans="1:16" x14ac:dyDescent="0.35">
      <c r="A19" s="24" t="s">
        <v>205</v>
      </c>
      <c r="B19" s="51">
        <v>0.8</v>
      </c>
      <c r="I19" s="31"/>
      <c r="J19" s="22" t="s">
        <v>2</v>
      </c>
      <c r="K19" s="23">
        <f>K13</f>
        <v>1</v>
      </c>
      <c r="M19" s="26">
        <f ca="1">VLOOKUP(L17,$N$27:$O$34,2,1)</f>
        <v>0.5</v>
      </c>
      <c r="O19" s="27" t="s">
        <v>165</v>
      </c>
      <c r="P19" s="3" t="s">
        <v>164</v>
      </c>
    </row>
    <row r="20" spans="1:16" ht="15" thickBot="1" x14ac:dyDescent="0.4">
      <c r="A20" s="24" t="s">
        <v>206</v>
      </c>
      <c r="B20" s="51">
        <v>0.4</v>
      </c>
      <c r="C20" s="52">
        <f>$B19*(1-$B20)/($B19*(1-$B20)+$B20*(1-$B19))</f>
        <v>0.85714285714285721</v>
      </c>
      <c r="I20" s="32"/>
      <c r="J20" t="s">
        <v>3</v>
      </c>
      <c r="K20" s="25">
        <f ca="1">I22*(1-I23)/(I22*(1-I23)+I23*(1-I22))</f>
        <v>0.25663716814159282</v>
      </c>
      <c r="M20" s="26">
        <f ca="1">VLOOKUP(L23,$N$27:$O$34,2,1)</f>
        <v>0.57999999999999996</v>
      </c>
      <c r="N20" s="29"/>
      <c r="O20" s="37">
        <f ca="1">_xlfn.BINOM.INV(O16,O17,RAND())</f>
        <v>1</v>
      </c>
      <c r="P20" s="2" t="str">
        <f ca="1">IF(O20&gt;=O16/2,L17,L23)</f>
        <v>H</v>
      </c>
    </row>
    <row r="21" spans="1:16" x14ac:dyDescent="0.35">
      <c r="A21" s="24" t="s">
        <v>207</v>
      </c>
      <c r="B21" s="51">
        <v>0.6</v>
      </c>
      <c r="C21" s="52">
        <f>$B19*(1-$B21)/($B19*(1-$B21)+$B21*(1-$B19))</f>
        <v>0.72727272727272729</v>
      </c>
      <c r="D21" s="52">
        <f>$B20*(1-$B21)/($B20*(1-$B21)+$B21*(1-$B20))</f>
        <v>0.30769230769230776</v>
      </c>
      <c r="I21" s="32"/>
      <c r="K21" s="33"/>
      <c r="P21" s="15"/>
    </row>
    <row r="22" spans="1:16" ht="15" thickBot="1" x14ac:dyDescent="0.4">
      <c r="A22" s="34" t="s">
        <v>208</v>
      </c>
      <c r="B22" s="53">
        <v>0.5</v>
      </c>
      <c r="C22" s="52">
        <f>$B19*(1-$B22)/($B19*(1-$B22)+$B22*(1-$B19))</f>
        <v>0.8</v>
      </c>
      <c r="D22" s="52">
        <f>$B20*(1-$B22)/($B20*(1-$B22)+$B22*(1-$B20))</f>
        <v>0.4</v>
      </c>
      <c r="E22" s="52">
        <f>$B21*(1-$B22)/($B21*(1-$B22)+$B22*(1-$B21))</f>
        <v>0.6</v>
      </c>
      <c r="H22" t="str">
        <f ca="1">C29</f>
        <v>D</v>
      </c>
      <c r="I22" s="26">
        <f t="shared" ref="I22:I23" ca="1" si="2">VLOOKUP(H22,$N$27:$O$34,2,0)</f>
        <v>0.57999999999999996</v>
      </c>
      <c r="K22" s="27"/>
    </row>
    <row r="23" spans="1:16" ht="15" thickBot="1" x14ac:dyDescent="0.4">
      <c r="H23" t="str">
        <f ca="1">C32</f>
        <v>E</v>
      </c>
      <c r="I23" s="26">
        <f t="shared" ca="1" si="2"/>
        <v>0.8</v>
      </c>
      <c r="J23" s="29"/>
      <c r="K23" s="37">
        <f ca="1">_xlfn.BINOM.INV(K19,K20,RAND())</f>
        <v>1</v>
      </c>
      <c r="L23" s="2" t="str">
        <f ca="1">IF(K23&gt;=K19/2,H22,H23)</f>
        <v>D</v>
      </c>
    </row>
    <row r="25" spans="1:16" ht="15" thickBot="1" x14ac:dyDescent="0.4">
      <c r="A25" s="11" t="s">
        <v>203</v>
      </c>
    </row>
    <row r="26" spans="1:16" x14ac:dyDescent="0.35">
      <c r="A26" t="s">
        <v>6</v>
      </c>
      <c r="B26">
        <f ca="1">COUNTIF($C$3:$E$5,"="&amp;A26)+RAND()*0.1</f>
        <v>2.0767924179106489</v>
      </c>
      <c r="C26" s="54" t="str">
        <f ca="1">INDEX($A$26:$B$29,MATCH(LARGE($B$26:$B$29,1),$B$26:$B$29,0),1)</f>
        <v>A</v>
      </c>
      <c r="H26" s="3"/>
      <c r="I26" s="3" t="s">
        <v>10</v>
      </c>
      <c r="J26" s="3" t="s">
        <v>214</v>
      </c>
      <c r="K26" s="3"/>
      <c r="L26" s="3"/>
      <c r="N26" s="21" t="s">
        <v>204</v>
      </c>
      <c r="O26" s="42"/>
    </row>
    <row r="27" spans="1:16" x14ac:dyDescent="0.35">
      <c r="A27" t="s">
        <v>7</v>
      </c>
      <c r="B27">
        <f t="shared" ref="B27:B29" ca="1" si="3">COUNTIF($C$3:$E$5,"="&amp;A27)+RAND()*0.1</f>
        <v>2.0068506877143846</v>
      </c>
      <c r="C27" s="54" t="str">
        <f ca="1">INDEX($A$26:$B$29,MATCH(LARGE($B$26:$B$29,2),$B$26:$B$29,0),1)</f>
        <v>C</v>
      </c>
      <c r="H27" s="1" t="s">
        <v>6</v>
      </c>
      <c r="I27" s="3"/>
      <c r="J27" s="4"/>
      <c r="K27" s="4"/>
      <c r="L27" s="4"/>
      <c r="N27" s="24" t="s">
        <v>6</v>
      </c>
      <c r="O27" s="51">
        <v>0.62</v>
      </c>
      <c r="P27" s="55"/>
    </row>
    <row r="28" spans="1:16" x14ac:dyDescent="0.35">
      <c r="A28" t="s">
        <v>8</v>
      </c>
      <c r="B28">
        <f t="shared" ca="1" si="3"/>
        <v>2.0705703023814226</v>
      </c>
      <c r="C28" s="54" t="str">
        <f ca="1">INDEX($A$26:$B$29,MATCH(LARGE($B$26:$B$29,3),$B$26:$B$29,0),1)</f>
        <v>B</v>
      </c>
      <c r="H28" s="1" t="s">
        <v>7</v>
      </c>
      <c r="I28" s="1"/>
      <c r="J28" s="4"/>
      <c r="K28" s="4"/>
      <c r="L28" s="4"/>
      <c r="N28" s="24" t="s">
        <v>7</v>
      </c>
      <c r="O28" s="51">
        <v>0.55000000000000004</v>
      </c>
      <c r="P28" s="55"/>
    </row>
    <row r="29" spans="1:16" x14ac:dyDescent="0.35">
      <c r="A29" t="s">
        <v>9</v>
      </c>
      <c r="B29">
        <f t="shared" ca="1" si="3"/>
        <v>8.9186172881458012E-2</v>
      </c>
      <c r="C29" s="54" t="str">
        <f ca="1">INDEX($A$26:$B$29,MATCH(LARGE($B$26:$B$29,4),$B$26:$B$29,0),1)</f>
        <v>D</v>
      </c>
      <c r="H29" s="1" t="s">
        <v>8</v>
      </c>
      <c r="I29" s="1"/>
      <c r="J29" s="4"/>
      <c r="K29" s="4"/>
      <c r="L29" s="4"/>
      <c r="N29" s="24" t="s">
        <v>8</v>
      </c>
      <c r="O29" s="51">
        <v>0.57999999999999996</v>
      </c>
      <c r="P29" s="55"/>
    </row>
    <row r="30" spans="1:16" x14ac:dyDescent="0.35">
      <c r="H30" s="1" t="s">
        <v>9</v>
      </c>
      <c r="I30" s="1"/>
      <c r="J30" s="4"/>
      <c r="K30" s="4"/>
      <c r="L30" s="4"/>
      <c r="N30" s="24" t="s">
        <v>9</v>
      </c>
      <c r="O30" s="51">
        <v>0.57999999999999996</v>
      </c>
      <c r="P30" s="55"/>
    </row>
    <row r="31" spans="1:16" x14ac:dyDescent="0.35">
      <c r="A31" s="11" t="s">
        <v>213</v>
      </c>
      <c r="H31" s="1" t="s">
        <v>205</v>
      </c>
      <c r="I31" s="1"/>
      <c r="J31" s="4"/>
      <c r="N31" s="24" t="s">
        <v>205</v>
      </c>
      <c r="O31" s="51">
        <v>0.8</v>
      </c>
      <c r="P31" s="55"/>
    </row>
    <row r="32" spans="1:16" x14ac:dyDescent="0.35">
      <c r="A32" t="s">
        <v>205</v>
      </c>
      <c r="B32">
        <f ca="1">COUNTIF($C$9:$E$11,"="&amp;A32)+RAND()*0.1</f>
        <v>3.002070098598709</v>
      </c>
      <c r="C32" s="54" t="str">
        <f ca="1">INDEX($A$32:$B$35,MATCH(LARGE($B$32:$B$35,1),$B$32:$B$35,0),1)</f>
        <v>E</v>
      </c>
      <c r="H32" s="1" t="s">
        <v>206</v>
      </c>
      <c r="I32" s="1"/>
      <c r="J32" s="4"/>
      <c r="N32" s="24" t="s">
        <v>206</v>
      </c>
      <c r="O32" s="51">
        <v>0.4</v>
      </c>
      <c r="P32" s="55"/>
    </row>
    <row r="33" spans="1:16" x14ac:dyDescent="0.35">
      <c r="A33" t="s">
        <v>206</v>
      </c>
      <c r="B33">
        <f t="shared" ref="B33:B35" ca="1" si="4">COUNTIF($C$9:$E$11,"="&amp;A33)+RAND()*0.1</f>
        <v>6.8059779086740824E-2</v>
      </c>
      <c r="C33" s="54" t="str">
        <f ca="1">INDEX($A$32:$B$35,MATCH(LARGE($B$32:$B$35,2),$B$32:$B$35,0),1)</f>
        <v>H</v>
      </c>
      <c r="H33" s="1" t="s">
        <v>207</v>
      </c>
      <c r="I33" s="1"/>
      <c r="J33" s="4"/>
      <c r="N33" s="24" t="s">
        <v>207</v>
      </c>
      <c r="O33" s="51">
        <v>0.6</v>
      </c>
      <c r="P33" s="55"/>
    </row>
    <row r="34" spans="1:16" ht="15" thickBot="1" x14ac:dyDescent="0.4">
      <c r="A34" t="s">
        <v>207</v>
      </c>
      <c r="B34">
        <f t="shared" ca="1" si="4"/>
        <v>1.0642187588047405</v>
      </c>
      <c r="C34" s="54" t="str">
        <f ca="1">INDEX($A$32:$B$35,MATCH(LARGE($B$32:$B$35,3),$B$32:$B$35,0),1)</f>
        <v>G</v>
      </c>
      <c r="H34" s="1" t="s">
        <v>208</v>
      </c>
      <c r="I34" s="1"/>
      <c r="J34" s="4"/>
      <c r="N34" s="34" t="s">
        <v>208</v>
      </c>
      <c r="O34" s="53">
        <v>0.5</v>
      </c>
      <c r="P34" s="55"/>
    </row>
    <row r="35" spans="1:16" x14ac:dyDescent="0.35">
      <c r="A35" t="s">
        <v>208</v>
      </c>
      <c r="B35">
        <f t="shared" ca="1" si="4"/>
        <v>2.0534533935078363</v>
      </c>
      <c r="C35" s="54" t="str">
        <f ca="1">INDEX($A$32:$B$35,MATCH(LARGE($B$32:$B$35,4),$B$32:$B$35,0),1)</f>
        <v>F</v>
      </c>
    </row>
    <row r="54" spans="3:4" x14ac:dyDescent="0.35">
      <c r="C54">
        <v>0</v>
      </c>
      <c r="D54">
        <v>0</v>
      </c>
    </row>
    <row r="55" spans="3:4" x14ac:dyDescent="0.35">
      <c r="C55">
        <v>0</v>
      </c>
      <c r="D55">
        <v>0</v>
      </c>
    </row>
    <row r="56" spans="3:4" x14ac:dyDescent="0.35">
      <c r="C56">
        <v>0</v>
      </c>
      <c r="D56">
        <v>0</v>
      </c>
    </row>
    <row r="57" spans="3:4" x14ac:dyDescent="0.35">
      <c r="C57">
        <v>0</v>
      </c>
      <c r="D57">
        <v>0</v>
      </c>
    </row>
    <row r="58" spans="3:4" x14ac:dyDescent="0.35">
      <c r="C58">
        <v>0</v>
      </c>
      <c r="D58">
        <v>0</v>
      </c>
    </row>
    <row r="59" spans="3:4" x14ac:dyDescent="0.35">
      <c r="C59">
        <v>0</v>
      </c>
      <c r="D59">
        <v>0</v>
      </c>
    </row>
    <row r="60" spans="3:4" x14ac:dyDescent="0.35">
      <c r="C60">
        <v>0</v>
      </c>
      <c r="D60">
        <v>0</v>
      </c>
    </row>
    <row r="61" spans="3:4" x14ac:dyDescent="0.35">
      <c r="C61">
        <v>0</v>
      </c>
      <c r="D61">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0652A-A941-4EF1-9376-2077D04F9746}">
  <sheetPr codeName="Sheet10">
    <tabColor rgb="FFFF0000"/>
  </sheetPr>
  <dimension ref="A1:I20"/>
  <sheetViews>
    <sheetView topLeftCell="A3" workbookViewId="0">
      <selection activeCell="J21" sqref="J21"/>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0.35534590152925061</v>
      </c>
    </row>
    <row r="5" spans="1:9" x14ac:dyDescent="0.35">
      <c r="A5" t="s">
        <v>276</v>
      </c>
      <c r="B5">
        <v>0.12627070973363586</v>
      </c>
    </row>
    <row r="6" spans="1:9" x14ac:dyDescent="0.35">
      <c r="A6" t="s">
        <v>277</v>
      </c>
      <c r="B6">
        <v>2.5455791625978448E-2</v>
      </c>
    </row>
    <row r="7" spans="1:9" x14ac:dyDescent="0.35">
      <c r="A7" t="s">
        <v>278</v>
      </c>
      <c r="B7">
        <v>0.50091628992516479</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3</v>
      </c>
      <c r="C12">
        <v>0.94282129934448111</v>
      </c>
      <c r="D12">
        <v>0.31427376644816035</v>
      </c>
      <c r="E12">
        <v>1.2525002460329824</v>
      </c>
      <c r="F12">
        <v>0.31112966202960102</v>
      </c>
    </row>
    <row r="13" spans="1:9" x14ac:dyDescent="0.35">
      <c r="A13" t="s">
        <v>282</v>
      </c>
      <c r="B13">
        <v>26</v>
      </c>
      <c r="C13">
        <v>6.5238453673221857</v>
      </c>
      <c r="D13">
        <v>0.25091712951239176</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2.0279413046731407</v>
      </c>
      <c r="C17">
        <v>1.9494110837378413</v>
      </c>
      <c r="D17">
        <v>1.0402840742983384</v>
      </c>
      <c r="E17">
        <v>0.30778560925063037</v>
      </c>
      <c r="F17">
        <v>-1.9791305659666993</v>
      </c>
      <c r="G17">
        <v>6.0350131753129812</v>
      </c>
      <c r="H17">
        <v>-1.9791305659666993</v>
      </c>
      <c r="I17">
        <v>6.0350131753129812</v>
      </c>
    </row>
    <row r="18" spans="1:9" x14ac:dyDescent="0.35">
      <c r="A18" t="s">
        <v>252</v>
      </c>
      <c r="B18">
        <v>-0.15514788988311204</v>
      </c>
      <c r="C18">
        <v>8.6824579459872611E-2</v>
      </c>
      <c r="D18">
        <v>-1.7869120800615701</v>
      </c>
      <c r="E18">
        <v>8.5617587945364226E-2</v>
      </c>
      <c r="F18">
        <v>-0.33361836896066754</v>
      </c>
      <c r="G18">
        <v>2.3322589194443438E-2</v>
      </c>
      <c r="H18">
        <v>-0.33361836896066754</v>
      </c>
      <c r="I18">
        <v>2.3322589194443438E-2</v>
      </c>
    </row>
    <row r="19" spans="1:9" x14ac:dyDescent="0.35">
      <c r="A19" t="s">
        <v>251</v>
      </c>
      <c r="B19">
        <v>2.906496319718483E-2</v>
      </c>
      <c r="C19">
        <v>0.17789287488605238</v>
      </c>
      <c r="D19">
        <v>0.16338463929936553</v>
      </c>
      <c r="E19">
        <v>0.87147897142087871</v>
      </c>
      <c r="F19">
        <v>-0.33659907805590927</v>
      </c>
      <c r="G19">
        <v>0.39472900445027892</v>
      </c>
      <c r="H19">
        <v>-0.33659907805590927</v>
      </c>
      <c r="I19">
        <v>0.39472900445027892</v>
      </c>
    </row>
    <row r="20" spans="1:9" ht="15" thickBot="1" x14ac:dyDescent="0.4">
      <c r="A20" s="29" t="s">
        <v>250</v>
      </c>
      <c r="B20" s="29">
        <v>7.6037005808936117E-2</v>
      </c>
      <c r="C20" s="29">
        <v>0.11964819536845039</v>
      </c>
      <c r="D20" s="29">
        <v>0.6355048279230967</v>
      </c>
      <c r="E20" s="29">
        <v>0.53065336531302509</v>
      </c>
      <c r="F20" s="29">
        <v>-0.16990338205140754</v>
      </c>
      <c r="G20" s="29">
        <v>0.32197739366927974</v>
      </c>
      <c r="H20" s="29">
        <v>-0.16990338205140754</v>
      </c>
      <c r="I20" s="29">
        <v>0.32197739366927974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1298C-D3AC-4A3C-B07B-7AB10E35ED62}">
  <sheetPr codeName="Sheet12">
    <tabColor rgb="FFFF0000"/>
  </sheetPr>
  <dimension ref="A1:J22"/>
  <sheetViews>
    <sheetView topLeftCell="A6" workbookViewId="0">
      <selection activeCell="G22" sqref="G22"/>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0.75493180363762569</v>
      </c>
    </row>
    <row r="5" spans="1:9" x14ac:dyDescent="0.35">
      <c r="A5" t="s">
        <v>276</v>
      </c>
      <c r="B5">
        <v>0.56992202814355863</v>
      </c>
    </row>
    <row r="6" spans="1:9" x14ac:dyDescent="0.35">
      <c r="A6" t="s">
        <v>277</v>
      </c>
      <c r="B6">
        <v>0.53806440059863703</v>
      </c>
    </row>
    <row r="7" spans="1:9" x14ac:dyDescent="0.35">
      <c r="A7" t="s">
        <v>278</v>
      </c>
      <c r="B7">
        <v>0.34486974763579065</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4.2554178101385709</v>
      </c>
      <c r="D12">
        <v>2.1277089050692854</v>
      </c>
      <c r="E12">
        <v>17.889656953893596</v>
      </c>
      <c r="F12">
        <v>1.1295024744930847E-5</v>
      </c>
    </row>
    <row r="13" spans="1:9" x14ac:dyDescent="0.35">
      <c r="A13" t="s">
        <v>282</v>
      </c>
      <c r="B13">
        <v>27</v>
      </c>
      <c r="C13">
        <v>3.2112488565280959</v>
      </c>
      <c r="D13">
        <v>0.11893514283437392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10" x14ac:dyDescent="0.35">
      <c r="A17" t="s">
        <v>284</v>
      </c>
      <c r="B17">
        <v>-8.3583305556895162</v>
      </c>
      <c r="C17">
        <v>2.498595236933483</v>
      </c>
      <c r="D17">
        <v>-3.3452119143345787</v>
      </c>
      <c r="E17">
        <v>2.4261538045390364E-3</v>
      </c>
      <c r="F17">
        <v>-13.485024511161928</v>
      </c>
      <c r="G17">
        <v>-3.2316366002171053</v>
      </c>
      <c r="H17">
        <v>-13.485024511161928</v>
      </c>
      <c r="I17">
        <v>-3.2316366002171053</v>
      </c>
    </row>
    <row r="18" spans="1:10" x14ac:dyDescent="0.35">
      <c r="A18" t="s">
        <v>263</v>
      </c>
      <c r="B18">
        <v>0.20154114874838183</v>
      </c>
      <c r="C18">
        <v>4.3999561887503209E-2</v>
      </c>
      <c r="D18">
        <v>4.5805262621404355</v>
      </c>
      <c r="E18">
        <v>9.4017257491750908E-5</v>
      </c>
      <c r="F18">
        <v>0.11126150495583982</v>
      </c>
      <c r="G18">
        <v>0.29182079254092386</v>
      </c>
      <c r="H18">
        <v>0.11126150495583982</v>
      </c>
      <c r="I18">
        <v>0.29182079254092386</v>
      </c>
      <c r="J18">
        <v>40</v>
      </c>
    </row>
    <row r="19" spans="1:10" ht="15" thickBot="1" x14ac:dyDescent="0.4">
      <c r="A19" s="29" t="s">
        <v>256</v>
      </c>
      <c r="B19" s="29">
        <v>-6.4247582575273118E-2</v>
      </c>
      <c r="C19" s="29">
        <v>6.3645821444336989E-2</v>
      </c>
      <c r="D19" s="29">
        <v>-1.0094548411392947</v>
      </c>
      <c r="E19" s="29">
        <v>0.3217179820717343</v>
      </c>
      <c r="F19" s="29">
        <v>-0.19483802126121913</v>
      </c>
      <c r="G19" s="29">
        <v>6.6342856110672907E-2</v>
      </c>
      <c r="H19" s="29">
        <v>-0.19483802126121913</v>
      </c>
      <c r="I19" s="29">
        <v>6.6342856110672907E-2</v>
      </c>
      <c r="J19">
        <v>5</v>
      </c>
    </row>
    <row r="21" spans="1:10" x14ac:dyDescent="0.35">
      <c r="E21" t="s">
        <v>296</v>
      </c>
    </row>
    <row r="22" spans="1:10" x14ac:dyDescent="0.35">
      <c r="D22">
        <f>B17+B18*J18+B19*J19</f>
        <v>-0.61792251863060788</v>
      </c>
      <c r="E22">
        <f>1/1-EXP(-D22)</f>
        <v>-0.8550701621964425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BC38A-3DDA-4649-B6BE-5349960D5FEF}">
  <sheetPr>
    <tabColor rgb="FFFF0000"/>
  </sheetPr>
  <dimension ref="A1:I19"/>
  <sheetViews>
    <sheetView topLeftCell="A5" workbookViewId="0">
      <selection activeCell="I40" sqref="I40"/>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0.75878250385512125</v>
      </c>
    </row>
    <row r="5" spans="1:9" x14ac:dyDescent="0.35">
      <c r="A5" t="s">
        <v>276</v>
      </c>
      <c r="B5">
        <v>0.5757508881566471</v>
      </c>
    </row>
    <row r="6" spans="1:9" x14ac:dyDescent="0.35">
      <c r="A6" t="s">
        <v>277</v>
      </c>
      <c r="B6">
        <v>0.54432502802010252</v>
      </c>
    </row>
    <row r="7" spans="1:9" x14ac:dyDescent="0.35">
      <c r="A7" t="s">
        <v>278</v>
      </c>
      <c r="B7">
        <v>0.34252475994653786</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4.2989399649029654</v>
      </c>
      <c r="D12">
        <v>2.1494699824514827</v>
      </c>
      <c r="E12">
        <v>18.32092695808555</v>
      </c>
      <c r="F12">
        <v>9.3946956299041858E-6</v>
      </c>
    </row>
    <row r="13" spans="1:9" x14ac:dyDescent="0.35">
      <c r="A13" t="s">
        <v>282</v>
      </c>
      <c r="B13">
        <v>27</v>
      </c>
      <c r="C13">
        <v>3.1677267017637014</v>
      </c>
      <c r="D13">
        <v>0.11732321117643339</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2.2115238235510981E-2</v>
      </c>
      <c r="C17">
        <v>1.7658938525116017</v>
      </c>
      <c r="D17">
        <v>1.2523537699650996E-2</v>
      </c>
      <c r="E17">
        <v>0.9901000046889763</v>
      </c>
      <c r="F17">
        <v>-3.6011996572127307</v>
      </c>
      <c r="G17">
        <v>3.6454301336837522</v>
      </c>
      <c r="H17">
        <v>-3.6011996572127307</v>
      </c>
      <c r="I17">
        <v>3.6454301336837522</v>
      </c>
    </row>
    <row r="18" spans="1:9" x14ac:dyDescent="0.35">
      <c r="A18" t="s">
        <v>246</v>
      </c>
      <c r="B18">
        <v>6.7444347850479702E-2</v>
      </c>
      <c r="C18">
        <v>1.3037139207294591E-2</v>
      </c>
      <c r="D18">
        <v>5.1732475030061025</v>
      </c>
      <c r="E18">
        <v>1.9125227821831832E-5</v>
      </c>
      <c r="F18">
        <v>4.0694347777351057E-2</v>
      </c>
      <c r="G18">
        <v>9.419434792360834E-2</v>
      </c>
      <c r="H18">
        <v>4.0694347777351057E-2</v>
      </c>
      <c r="I18">
        <v>9.419434792360834E-2</v>
      </c>
    </row>
    <row r="19" spans="1:9" ht="15" thickBot="1" x14ac:dyDescent="0.4">
      <c r="A19" s="29" t="s">
        <v>265</v>
      </c>
      <c r="B19" s="29">
        <v>1.2095324606001361E-2</v>
      </c>
      <c r="C19" s="29">
        <v>4.1811146351141693E-2</v>
      </c>
      <c r="D19" s="29">
        <v>0.28928469227850023</v>
      </c>
      <c r="E19" s="29">
        <v>0.77457324871402011</v>
      </c>
      <c r="F19" s="29">
        <v>-7.3694061406294517E-2</v>
      </c>
      <c r="G19" s="29">
        <v>9.7884710618297247E-2</v>
      </c>
      <c r="H19" s="29">
        <v>-7.3694061406294517E-2</v>
      </c>
      <c r="I19" s="29">
        <v>9.7884710618297247E-2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AC321-E66F-48B4-828C-63B980A51E28}">
  <sheetPr codeName="Sheet13">
    <tabColor rgb="FFFFFF00"/>
  </sheetPr>
  <dimension ref="A1:J20"/>
  <sheetViews>
    <sheetView workbookViewId="0">
      <selection activeCell="N21" sqref="N21"/>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0.48550599243846848</v>
      </c>
    </row>
    <row r="5" spans="1:9" x14ac:dyDescent="0.35">
      <c r="A5" t="s">
        <v>276</v>
      </c>
      <c r="B5">
        <v>0.23571606869366221</v>
      </c>
    </row>
    <row r="6" spans="1:9" x14ac:dyDescent="0.35">
      <c r="A6" t="s">
        <v>277</v>
      </c>
      <c r="B6">
        <v>0.20842021400415014</v>
      </c>
    </row>
    <row r="7" spans="1:9" x14ac:dyDescent="0.35">
      <c r="A7" t="s">
        <v>278</v>
      </c>
      <c r="B7">
        <v>0.45145215510434411</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1</v>
      </c>
      <c r="C12">
        <v>1.7600133129126778</v>
      </c>
      <c r="D12">
        <v>1.7600133129126778</v>
      </c>
      <c r="E12">
        <v>8.6355994847903332</v>
      </c>
      <c r="F12">
        <v>6.5344931132683293E-3</v>
      </c>
    </row>
    <row r="13" spans="1:9" x14ac:dyDescent="0.35">
      <c r="A13" t="s">
        <v>282</v>
      </c>
      <c r="B13">
        <v>28</v>
      </c>
      <c r="C13">
        <v>5.706653353753989</v>
      </c>
      <c r="D13">
        <v>0.20380904834835675</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10" x14ac:dyDescent="0.35">
      <c r="A17" t="s">
        <v>284</v>
      </c>
      <c r="B17">
        <v>2.7689307079818231</v>
      </c>
      <c r="C17">
        <v>0.76521143949616965</v>
      </c>
      <c r="D17">
        <v>3.6185171379624719</v>
      </c>
      <c r="E17">
        <v>1.1567250192222453E-3</v>
      </c>
      <c r="F17">
        <v>1.2014661303344496</v>
      </c>
      <c r="G17">
        <v>4.3363952856291963</v>
      </c>
      <c r="H17">
        <v>1.2014661303344496</v>
      </c>
      <c r="I17">
        <v>4.3363952856291963</v>
      </c>
    </row>
    <row r="18" spans="1:10" ht="15" thickBot="1" x14ac:dyDescent="0.4">
      <c r="A18" s="29" t="s">
        <v>256</v>
      </c>
      <c r="B18" s="29">
        <v>-0.2113706941048053</v>
      </c>
      <c r="C18" s="29">
        <v>7.1928089935749603E-2</v>
      </c>
      <c r="D18" s="29">
        <v>-2.9386390531656552</v>
      </c>
      <c r="E18" s="29">
        <v>6.5344931132682981E-3</v>
      </c>
      <c r="F18" s="29">
        <v>-0.35870870722488546</v>
      </c>
      <c r="G18" s="29">
        <v>-6.4032680984725171E-2</v>
      </c>
      <c r="H18" s="29">
        <v>-0.35870870722488546</v>
      </c>
      <c r="I18" s="29">
        <v>-6.4032680984725171E-2</v>
      </c>
      <c r="J18">
        <v>10</v>
      </c>
    </row>
    <row r="20" spans="1:10" x14ac:dyDescent="0.35">
      <c r="C20">
        <f>B17+B18*J18</f>
        <v>0.65522376693377016</v>
      </c>
      <c r="D20">
        <f>1/(1+EXP(-C20))</f>
        <v>0.65818665923900976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12659-5513-4787-B67A-AAEFD42B3FDD}">
  <sheetPr>
    <tabColor rgb="FFFFFF00"/>
  </sheetPr>
  <dimension ref="A1:I19"/>
  <sheetViews>
    <sheetView workbookViewId="0">
      <selection activeCell="L14" sqref="L14"/>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0.53857409937674627</v>
      </c>
    </row>
    <row r="5" spans="1:9" x14ac:dyDescent="0.35">
      <c r="A5" t="s">
        <v>276</v>
      </c>
      <c r="B5">
        <v>0.29006206051947336</v>
      </c>
    </row>
    <row r="6" spans="1:9" x14ac:dyDescent="0.35">
      <c r="A6" t="s">
        <v>277</v>
      </c>
      <c r="B6">
        <v>0.23747406500239732</v>
      </c>
    </row>
    <row r="7" spans="1:9" x14ac:dyDescent="0.35">
      <c r="A7" t="s">
        <v>278</v>
      </c>
      <c r="B7">
        <v>0.44308973876302293</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2.1657967185454012</v>
      </c>
      <c r="D12">
        <v>1.0828983592727006</v>
      </c>
      <c r="E12">
        <v>5.515746657909526</v>
      </c>
      <c r="F12">
        <v>9.8056233532267181E-3</v>
      </c>
    </row>
    <row r="13" spans="1:9" x14ac:dyDescent="0.35">
      <c r="A13" t="s">
        <v>282</v>
      </c>
      <c r="B13">
        <v>27</v>
      </c>
      <c r="C13">
        <v>5.3008699481212656</v>
      </c>
      <c r="D13">
        <v>0.19632851659708392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-0.62032640803785766</v>
      </c>
      <c r="C17">
        <v>0.88567711400857818</v>
      </c>
      <c r="D17">
        <v>-0.70039791954232378</v>
      </c>
      <c r="E17">
        <v>0.48967078538398734</v>
      </c>
      <c r="F17">
        <v>-2.4375857383088477</v>
      </c>
      <c r="G17">
        <v>1.1969329222331324</v>
      </c>
      <c r="H17">
        <v>-2.4375857383088477</v>
      </c>
      <c r="I17">
        <v>1.1969329222331324</v>
      </c>
    </row>
    <row r="18" spans="1:9" x14ac:dyDescent="0.35">
      <c r="A18" t="s">
        <v>307</v>
      </c>
      <c r="B18">
        <v>0.58118670558983099</v>
      </c>
      <c r="C18">
        <v>0.44520811267353111</v>
      </c>
      <c r="D18">
        <v>1.3054270329885302</v>
      </c>
      <c r="E18">
        <v>0.20276256469916834</v>
      </c>
      <c r="F18">
        <v>-0.33230488617831366</v>
      </c>
      <c r="G18">
        <v>1.4946782973579755</v>
      </c>
      <c r="H18">
        <v>-0.33230488617831366</v>
      </c>
      <c r="I18">
        <v>1.4946782973579755</v>
      </c>
    </row>
    <row r="19" spans="1:9" ht="15" thickBot="1" x14ac:dyDescent="0.4">
      <c r="A19" s="29" t="s">
        <v>308</v>
      </c>
      <c r="B19" s="29">
        <v>0.1903452769416773</v>
      </c>
      <c r="C19" s="29">
        <v>8.1579353490557144E-2</v>
      </c>
      <c r="D19" s="29">
        <v>2.3332530695246301</v>
      </c>
      <c r="E19" s="29">
        <v>2.7330489624865558E-2</v>
      </c>
      <c r="F19" s="29">
        <v>2.2958269935019621E-2</v>
      </c>
      <c r="G19" s="29">
        <v>0.35773228394833501</v>
      </c>
      <c r="H19" s="29">
        <v>2.2958269935019621E-2</v>
      </c>
      <c r="I19" s="29">
        <v>0.35773228394833501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64F1A-CC2C-4018-A2B5-52C30578467D}">
  <sheetPr>
    <tabColor rgb="FFFFFF00"/>
  </sheetPr>
  <dimension ref="A1:I19"/>
  <sheetViews>
    <sheetView workbookViewId="0">
      <selection activeCell="N35" sqref="N35"/>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0.49636864060764896</v>
      </c>
    </row>
    <row r="5" spans="1:9" x14ac:dyDescent="0.35">
      <c r="A5" t="s">
        <v>276</v>
      </c>
      <c r="B5">
        <v>0.24638182737868536</v>
      </c>
    </row>
    <row r="6" spans="1:9" x14ac:dyDescent="0.35">
      <c r="A6" t="s">
        <v>277</v>
      </c>
      <c r="B6">
        <v>0.19055825903636575</v>
      </c>
    </row>
    <row r="7" spans="1:9" x14ac:dyDescent="0.35">
      <c r="A7" t="s">
        <v>278</v>
      </c>
      <c r="B7">
        <v>0.45651723787606663</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1.8396509777608507</v>
      </c>
      <c r="D12">
        <v>0.91982548888042537</v>
      </c>
      <c r="E12">
        <v>4.4135807633763244</v>
      </c>
      <c r="F12">
        <v>2.1955503069313584E-2</v>
      </c>
    </row>
    <row r="13" spans="1:9" x14ac:dyDescent="0.35">
      <c r="A13" t="s">
        <v>282</v>
      </c>
      <c r="B13">
        <v>27</v>
      </c>
      <c r="C13">
        <v>5.627015688905816</v>
      </c>
      <c r="D13">
        <v>0.20840798847799319</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0.75657591876510466</v>
      </c>
      <c r="C17">
        <v>1.1248537095669462</v>
      </c>
      <c r="D17">
        <v>0.67259938988544243</v>
      </c>
      <c r="E17">
        <v>0.50691814881538044</v>
      </c>
      <c r="F17">
        <v>-1.5514332491004081</v>
      </c>
      <c r="G17">
        <v>3.0645850866306175</v>
      </c>
      <c r="H17">
        <v>-1.5514332491004081</v>
      </c>
      <c r="I17">
        <v>3.0645850866306175</v>
      </c>
    </row>
    <row r="18" spans="1:9" x14ac:dyDescent="0.35">
      <c r="A18" t="s">
        <v>309</v>
      </c>
      <c r="B18">
        <v>-1.2700867838537042</v>
      </c>
      <c r="C18">
        <v>6.3167413391141469</v>
      </c>
      <c r="D18">
        <v>-0.20106677092967998</v>
      </c>
      <c r="E18">
        <v>0.84215340639137604</v>
      </c>
      <c r="F18">
        <v>-14.230969428160657</v>
      </c>
      <c r="G18">
        <v>11.690795860453248</v>
      </c>
      <c r="H18">
        <v>-14.230969428160657</v>
      </c>
      <c r="I18">
        <v>11.690795860453248</v>
      </c>
    </row>
    <row r="19" spans="1:9" ht="15" thickBot="1" x14ac:dyDescent="0.4">
      <c r="A19" s="29" t="s">
        <v>308</v>
      </c>
      <c r="B19" s="29">
        <v>0.23407402067960315</v>
      </c>
      <c r="C19" s="29">
        <v>7.9665014652289035E-2</v>
      </c>
      <c r="D19" s="29">
        <v>2.9382285524110858</v>
      </c>
      <c r="E19" s="29">
        <v>6.6813914335033912E-3</v>
      </c>
      <c r="F19" s="29">
        <v>7.0614912520187395E-2</v>
      </c>
      <c r="G19" s="29">
        <v>0.39753312883901892</v>
      </c>
      <c r="H19" s="29">
        <v>7.0614912520187395E-2</v>
      </c>
      <c r="I19" s="29">
        <v>0.39753312883901892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6D1C0-8538-4316-8848-14DE7C05634D}">
  <sheetPr>
    <tabColor rgb="FFFFFF00"/>
  </sheetPr>
  <dimension ref="A1:I19"/>
  <sheetViews>
    <sheetView workbookViewId="0">
      <selection activeCell="K38" sqref="K38:L39"/>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0.75018865297676529</v>
      </c>
    </row>
    <row r="5" spans="1:9" x14ac:dyDescent="0.35">
      <c r="A5" t="s">
        <v>276</v>
      </c>
      <c r="B5">
        <v>0.56278301505509365</v>
      </c>
    </row>
    <row r="6" spans="1:9" x14ac:dyDescent="0.35">
      <c r="A6" t="s">
        <v>277</v>
      </c>
      <c r="B6">
        <v>0.53039657172584131</v>
      </c>
    </row>
    <row r="7" spans="1:9" x14ac:dyDescent="0.35">
      <c r="A7" t="s">
        <v>278</v>
      </c>
      <c r="B7">
        <v>0.34772027325022142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4.2021131790780331</v>
      </c>
      <c r="D12">
        <v>2.1010565895390165</v>
      </c>
      <c r="E12">
        <v>17.37711700335964</v>
      </c>
      <c r="F12">
        <v>1.4106193526053322E-5</v>
      </c>
    </row>
    <row r="13" spans="1:9" x14ac:dyDescent="0.35">
      <c r="A13" t="s">
        <v>282</v>
      </c>
      <c r="B13">
        <v>27</v>
      </c>
      <c r="C13">
        <v>3.2645534875886333</v>
      </c>
      <c r="D13">
        <v>0.12090938842920863</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-1.7140277710147298</v>
      </c>
      <c r="C17">
        <v>0.51095202732023093</v>
      </c>
      <c r="D17">
        <v>-3.3545767104677533</v>
      </c>
      <c r="E17">
        <v>2.3691156815359806E-3</v>
      </c>
      <c r="F17">
        <v>-2.7624147331278484</v>
      </c>
      <c r="G17">
        <v>-0.66564080890161126</v>
      </c>
      <c r="H17">
        <v>-2.7624147331278484</v>
      </c>
      <c r="I17">
        <v>-0.66564080890161126</v>
      </c>
    </row>
    <row r="18" spans="1:9" x14ac:dyDescent="0.35">
      <c r="A18" t="s">
        <v>310</v>
      </c>
      <c r="B18">
        <v>5.3218695084804923E-2</v>
      </c>
      <c r="C18">
        <v>1.2018181074061588E-2</v>
      </c>
      <c r="D18">
        <v>4.428182164742462</v>
      </c>
      <c r="E18">
        <v>1.4145425387908706E-4</v>
      </c>
      <c r="F18">
        <v>2.8559424404459539E-2</v>
      </c>
      <c r="G18">
        <v>7.7877965765150312E-2</v>
      </c>
      <c r="H18">
        <v>2.8559424404459539E-2</v>
      </c>
      <c r="I18">
        <v>7.7877965765150312E-2</v>
      </c>
    </row>
    <row r="19" spans="1:9" ht="15" thickBot="1" x14ac:dyDescent="0.4">
      <c r="A19" s="29" t="s">
        <v>308</v>
      </c>
      <c r="B19" s="29">
        <v>4.6779786759921463E-2</v>
      </c>
      <c r="C19" s="29">
        <v>7.2359300195721732E-2</v>
      </c>
      <c r="D19" s="29">
        <v>0.64649307875267892</v>
      </c>
      <c r="E19" s="29">
        <v>0.52341805842586364</v>
      </c>
      <c r="F19" s="29">
        <v>-0.10168923353281832</v>
      </c>
      <c r="G19" s="29">
        <v>0.19524880705266123</v>
      </c>
      <c r="H19" s="29">
        <v>-0.10168923353281832</v>
      </c>
      <c r="I19" s="29">
        <v>0.19524880705266123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40655-3E2F-49C9-9E5E-040DCDE6C918}">
  <sheetPr>
    <tabColor rgb="FFFF0000"/>
  </sheetPr>
  <dimension ref="A1:I19"/>
  <sheetViews>
    <sheetView workbookViewId="0">
      <selection activeCell="M36" sqref="M36"/>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0.75230542524585398</v>
      </c>
    </row>
    <row r="5" spans="1:9" x14ac:dyDescent="0.35">
      <c r="A5" t="s">
        <v>276</v>
      </c>
      <c r="B5">
        <v>0.56596345285434513</v>
      </c>
    </row>
    <row r="6" spans="1:9" x14ac:dyDescent="0.35">
      <c r="A6" t="s">
        <v>277</v>
      </c>
      <c r="B6">
        <v>0.53381259751022248</v>
      </c>
    </row>
    <row r="7" spans="1:9" x14ac:dyDescent="0.35">
      <c r="A7" t="s">
        <v>278</v>
      </c>
      <c r="B7">
        <v>0.34645325796042237</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4.2258604479791106</v>
      </c>
      <c r="D12">
        <v>2.1129302239895553</v>
      </c>
      <c r="E12">
        <v>17.603371568085127</v>
      </c>
      <c r="F12">
        <v>1.2782183527126075E-5</v>
      </c>
    </row>
    <row r="13" spans="1:9" x14ac:dyDescent="0.35">
      <c r="A13" t="s">
        <v>282</v>
      </c>
      <c r="B13">
        <v>27</v>
      </c>
      <c r="C13">
        <v>3.2408062186875561</v>
      </c>
      <c r="D13">
        <v>0.12002985995139097</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-1.4389966257918663</v>
      </c>
      <c r="C17">
        <v>0.72216016108013181</v>
      </c>
      <c r="D17">
        <v>-1.9926280946314807</v>
      </c>
      <c r="E17">
        <v>5.6500476003536727E-2</v>
      </c>
      <c r="F17">
        <v>-2.9207468820823994</v>
      </c>
      <c r="G17">
        <v>4.2753630498667095E-2</v>
      </c>
      <c r="H17">
        <v>-2.9207468820823994</v>
      </c>
      <c r="I17">
        <v>4.2753630498667095E-2</v>
      </c>
    </row>
    <row r="18" spans="1:9" x14ac:dyDescent="0.35">
      <c r="A18" t="s">
        <v>312</v>
      </c>
      <c r="B18">
        <v>2.1162388234610512E-2</v>
      </c>
      <c r="C18">
        <v>4.7440805090617925E-2</v>
      </c>
      <c r="D18">
        <v>0.44607987141423255</v>
      </c>
      <c r="E18">
        <v>0.65909647308779595</v>
      </c>
      <c r="F18">
        <v>-7.6178103376712644E-2</v>
      </c>
      <c r="G18">
        <v>0.11850287984593368</v>
      </c>
      <c r="H18">
        <v>-7.6178103376712644E-2</v>
      </c>
      <c r="I18">
        <v>0.11850287984593368</v>
      </c>
    </row>
    <row r="19" spans="1:9" ht="15" thickBot="1" x14ac:dyDescent="0.4">
      <c r="A19" s="29" t="s">
        <v>311</v>
      </c>
      <c r="B19" s="29">
        <v>4.042165334806834E-2</v>
      </c>
      <c r="C19" s="29">
        <v>5.1382788418997981E-2</v>
      </c>
      <c r="D19" s="29">
        <v>0.7866769124799593</v>
      </c>
      <c r="E19" s="29">
        <v>0.43832177518503157</v>
      </c>
      <c r="F19" s="29">
        <v>-6.5007119951881534E-2</v>
      </c>
      <c r="G19" s="29">
        <v>0.14585042664801823</v>
      </c>
      <c r="H19" s="29">
        <v>-6.5007119951881534E-2</v>
      </c>
      <c r="I19" s="29">
        <v>0.14585042664801823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397CC-E172-475C-8760-E62EE1B320E3}">
  <sheetPr>
    <tabColor rgb="FFFFFF00"/>
  </sheetPr>
  <dimension ref="A1:I19"/>
  <sheetViews>
    <sheetView workbookViewId="0">
      <selection activeCell="P37" sqref="P37"/>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0.79803258336319061</v>
      </c>
    </row>
    <row r="5" spans="1:9" x14ac:dyDescent="0.35">
      <c r="A5" t="s">
        <v>276</v>
      </c>
      <c r="B5">
        <v>0.63685600410932774</v>
      </c>
    </row>
    <row r="6" spans="1:9" x14ac:dyDescent="0.35">
      <c r="A6" t="s">
        <v>277</v>
      </c>
      <c r="B6">
        <v>0.60995644885816691</v>
      </c>
    </row>
    <row r="7" spans="1:9" x14ac:dyDescent="0.35">
      <c r="A7" t="s">
        <v>278</v>
      </c>
      <c r="B7">
        <v>0.31689904744413588</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4.7551914973496476</v>
      </c>
      <c r="D12">
        <v>2.3775957486748238</v>
      </c>
      <c r="E12">
        <v>23.675335824812311</v>
      </c>
      <c r="F12">
        <v>1.1509718949197333E-6</v>
      </c>
    </row>
    <row r="13" spans="1:9" x14ac:dyDescent="0.35">
      <c r="A13" t="s">
        <v>282</v>
      </c>
      <c r="B13">
        <v>27</v>
      </c>
      <c r="C13">
        <v>2.7114751693170187</v>
      </c>
      <c r="D13">
        <v>0.10042500627100069</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-8.9755444263811022</v>
      </c>
      <c r="C17">
        <v>2.9106335197416637</v>
      </c>
      <c r="D17">
        <v>-3.0837081911905337</v>
      </c>
      <c r="E17">
        <v>4.6750875190608695E-3</v>
      </c>
      <c r="F17">
        <v>-14.947671104477472</v>
      </c>
      <c r="G17">
        <v>-3.0034177482847317</v>
      </c>
      <c r="H17">
        <v>-14.947671104477472</v>
      </c>
      <c r="I17">
        <v>-3.0034177482847317</v>
      </c>
    </row>
    <row r="18" spans="1:9" x14ac:dyDescent="0.35">
      <c r="A18" t="s">
        <v>312</v>
      </c>
      <c r="B18">
        <v>1.7121076650285234E-2</v>
      </c>
      <c r="C18">
        <v>1.8817947797048352E-2</v>
      </c>
      <c r="D18">
        <v>0.9098269819289605</v>
      </c>
      <c r="E18">
        <v>0.37096468672898686</v>
      </c>
      <c r="F18">
        <v>-2.1490162897231546E-2</v>
      </c>
      <c r="G18">
        <v>5.5732316197802015E-2</v>
      </c>
      <c r="H18">
        <v>-2.1490162897231546E-2</v>
      </c>
      <c r="I18">
        <v>5.5732316197802015E-2</v>
      </c>
    </row>
    <row r="19" spans="1:9" ht="15" thickBot="1" x14ac:dyDescent="0.4">
      <c r="A19" s="29" t="s">
        <v>313</v>
      </c>
      <c r="B19" s="29">
        <v>4.2887952277357179E-2</v>
      </c>
      <c r="C19" s="29">
        <v>1.749351274377469E-2</v>
      </c>
      <c r="D19" s="29">
        <v>2.451648957275288</v>
      </c>
      <c r="E19" s="29">
        <v>2.0974638055188021E-2</v>
      </c>
      <c r="F19" s="29">
        <v>6.9942289892434908E-3</v>
      </c>
      <c r="G19" s="29">
        <v>7.878167556547086E-2</v>
      </c>
      <c r="H19" s="29">
        <v>6.9942289892434908E-3</v>
      </c>
      <c r="I19" s="29">
        <v>7.878167556547086E-2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75DF5-4E38-40F5-A6F8-0C184AFD998F}">
  <sheetPr>
    <tabColor rgb="FFFFFF00"/>
  </sheetPr>
  <dimension ref="A1:I19"/>
  <sheetViews>
    <sheetView workbookViewId="0">
      <selection activeCell="D24" sqref="D24"/>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0.75018865297676529</v>
      </c>
    </row>
    <row r="5" spans="1:9" x14ac:dyDescent="0.35">
      <c r="A5" t="s">
        <v>276</v>
      </c>
      <c r="B5">
        <v>0.56278301505509365</v>
      </c>
    </row>
    <row r="6" spans="1:9" x14ac:dyDescent="0.35">
      <c r="A6" t="s">
        <v>277</v>
      </c>
      <c r="B6">
        <v>0.53039657172584131</v>
      </c>
    </row>
    <row r="7" spans="1:9" x14ac:dyDescent="0.35">
      <c r="A7" t="s">
        <v>278</v>
      </c>
      <c r="B7">
        <v>0.34772027325022142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4.2021131790780331</v>
      </c>
      <c r="D12">
        <v>2.1010565895390165</v>
      </c>
      <c r="E12">
        <v>17.37711700335964</v>
      </c>
      <c r="F12">
        <v>1.4106193526053322E-5</v>
      </c>
    </row>
    <row r="13" spans="1:9" x14ac:dyDescent="0.35">
      <c r="A13" t="s">
        <v>282</v>
      </c>
      <c r="B13">
        <v>27</v>
      </c>
      <c r="C13">
        <v>3.2645534875886333</v>
      </c>
      <c r="D13">
        <v>0.12090938842920863</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-1.7140277710147298</v>
      </c>
      <c r="C17">
        <v>0.51095202732023093</v>
      </c>
      <c r="D17">
        <v>-3.3545767104677533</v>
      </c>
      <c r="E17">
        <v>2.3691156815359806E-3</v>
      </c>
      <c r="F17">
        <v>-2.7624147331278484</v>
      </c>
      <c r="G17">
        <v>-0.66564080890161126</v>
      </c>
      <c r="H17">
        <v>-2.7624147331278484</v>
      </c>
      <c r="I17">
        <v>-0.66564080890161126</v>
      </c>
    </row>
    <row r="18" spans="1:9" x14ac:dyDescent="0.35">
      <c r="A18" t="s">
        <v>312</v>
      </c>
      <c r="B18">
        <v>5.3218695084804923E-2</v>
      </c>
      <c r="C18">
        <v>1.2018181074061588E-2</v>
      </c>
      <c r="D18">
        <v>4.428182164742462</v>
      </c>
      <c r="E18">
        <v>1.4145425387908706E-4</v>
      </c>
      <c r="F18">
        <v>2.8559424404459539E-2</v>
      </c>
      <c r="G18">
        <v>7.7877965765150312E-2</v>
      </c>
      <c r="H18">
        <v>2.8559424404459539E-2</v>
      </c>
      <c r="I18">
        <v>7.7877965765150312E-2</v>
      </c>
    </row>
    <row r="19" spans="1:9" ht="15" thickBot="1" x14ac:dyDescent="0.4">
      <c r="A19" s="29" t="s">
        <v>308</v>
      </c>
      <c r="B19" s="29">
        <v>4.6779786759921463E-2</v>
      </c>
      <c r="C19" s="29">
        <v>7.2359300195721732E-2</v>
      </c>
      <c r="D19" s="29">
        <v>0.64649307875267892</v>
      </c>
      <c r="E19" s="29">
        <v>0.52341805842586364</v>
      </c>
      <c r="F19" s="29">
        <v>-0.10168923353281832</v>
      </c>
      <c r="G19" s="29">
        <v>0.19524880705266123</v>
      </c>
      <c r="H19" s="29">
        <v>-0.10168923353281832</v>
      </c>
      <c r="I19" s="29">
        <v>0.19524880705266123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7A233-DA54-4FB9-82AA-CF3402BFD5BE}">
  <sheetPr>
    <tabColor rgb="FFFFFF00"/>
  </sheetPr>
  <dimension ref="A1:I19"/>
  <sheetViews>
    <sheetView workbookViewId="0">
      <selection activeCell="E23" sqref="E23"/>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0.7939648879543133</v>
      </c>
    </row>
    <row r="5" spans="1:9" x14ac:dyDescent="0.35">
      <c r="A5" t="s">
        <v>276</v>
      </c>
      <c r="B5">
        <v>0.63038024330430531</v>
      </c>
    </row>
    <row r="6" spans="1:9" x14ac:dyDescent="0.35">
      <c r="A6" t="s">
        <v>277</v>
      </c>
      <c r="B6">
        <v>0.60300100206758722</v>
      </c>
    </row>
    <row r="7" spans="1:9" x14ac:dyDescent="0.35">
      <c r="A7" t="s">
        <v>278</v>
      </c>
      <c r="B7">
        <v>0.31971211104744585</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4.7068391500054796</v>
      </c>
      <c r="D12">
        <v>2.3534195750027398</v>
      </c>
      <c r="E12">
        <v>23.02402166130544</v>
      </c>
      <c r="F12">
        <v>1.4611502848240925E-6</v>
      </c>
    </row>
    <row r="13" spans="1:9" x14ac:dyDescent="0.35">
      <c r="A13" t="s">
        <v>282</v>
      </c>
      <c r="B13">
        <v>27</v>
      </c>
      <c r="C13">
        <v>2.7598275166611872</v>
      </c>
      <c r="D13">
        <v>0.10221583395041434</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-10.949722238697374</v>
      </c>
      <c r="C17">
        <v>1.7487395831400978</v>
      </c>
      <c r="D17">
        <v>-6.2614939035323207</v>
      </c>
      <c r="E17">
        <v>1.0653203764197169E-6</v>
      </c>
      <c r="F17">
        <v>-14.537839480761241</v>
      </c>
      <c r="G17">
        <v>-7.361604996633508</v>
      </c>
      <c r="H17">
        <v>-14.537839480761241</v>
      </c>
      <c r="I17">
        <v>-7.361604996633508</v>
      </c>
    </row>
    <row r="18" spans="1:9" x14ac:dyDescent="0.35">
      <c r="A18" t="s">
        <v>314</v>
      </c>
      <c r="B18">
        <v>-0.78177983807382101</v>
      </c>
      <c r="C18">
        <v>1.3402671583761019</v>
      </c>
      <c r="D18">
        <v>-0.58330149566676182</v>
      </c>
      <c r="E18">
        <v>0.56453136469043663</v>
      </c>
      <c r="F18">
        <v>-3.5317808938662232</v>
      </c>
      <c r="G18">
        <v>1.9682212177185814</v>
      </c>
      <c r="H18">
        <v>-3.5317808938662232</v>
      </c>
      <c r="I18">
        <v>1.9682212177185814</v>
      </c>
    </row>
    <row r="19" spans="1:9" ht="15" thickBot="1" x14ac:dyDescent="0.4">
      <c r="A19" s="29" t="s">
        <v>313</v>
      </c>
      <c r="B19" s="29">
        <v>5.8394327486405731E-2</v>
      </c>
      <c r="C19" s="29">
        <v>8.8049828053450713E-3</v>
      </c>
      <c r="D19" s="29">
        <v>6.6319638297257564</v>
      </c>
      <c r="E19" s="29">
        <v>4.0759029775746306E-7</v>
      </c>
      <c r="F19" s="29">
        <v>4.0327995069314518E-2</v>
      </c>
      <c r="G19" s="29">
        <v>7.6460659903496944E-2</v>
      </c>
      <c r="H19" s="29">
        <v>4.0327995069314518E-2</v>
      </c>
      <c r="I19" s="29">
        <v>7.6460659903496944E-2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81A5-C2A0-4892-BA4F-5A68303767CE}">
  <sheetPr>
    <tabColor rgb="FFFFFF00"/>
  </sheetPr>
  <dimension ref="A1:I19"/>
  <sheetViews>
    <sheetView workbookViewId="0">
      <selection activeCell="P37" sqref="P37"/>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0.79108608888290821</v>
      </c>
    </row>
    <row r="5" spans="1:9" x14ac:dyDescent="0.35">
      <c r="A5" t="s">
        <v>276</v>
      </c>
      <c r="B5">
        <v>0.6258172000240565</v>
      </c>
    </row>
    <row r="6" spans="1:9" x14ac:dyDescent="0.35">
      <c r="A6" t="s">
        <v>277</v>
      </c>
      <c r="B6">
        <v>0.59809995558139395</v>
      </c>
    </row>
    <row r="7" spans="1:9" x14ac:dyDescent="0.35">
      <c r="A7" t="s">
        <v>278</v>
      </c>
      <c r="B7">
        <v>0.32167951844334125</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4.6727684268462886</v>
      </c>
      <c r="D12">
        <v>2.3363842134231443</v>
      </c>
      <c r="E12">
        <v>22.57862253654611</v>
      </c>
      <c r="F12">
        <v>1.7243744372370766E-6</v>
      </c>
    </row>
    <row r="13" spans="1:9" x14ac:dyDescent="0.35">
      <c r="A13" t="s">
        <v>282</v>
      </c>
      <c r="B13">
        <v>27</v>
      </c>
      <c r="C13">
        <v>2.7938982398203782</v>
      </c>
      <c r="D13">
        <v>0.10347771258593993</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-11.236910091489014</v>
      </c>
      <c r="C17">
        <v>2.2464415316762647</v>
      </c>
      <c r="D17">
        <v>-5.0020932808806204</v>
      </c>
      <c r="E17">
        <v>3.0284822167625647E-5</v>
      </c>
      <c r="F17">
        <v>-15.846227379671088</v>
      </c>
      <c r="G17">
        <v>-6.6275928033069391</v>
      </c>
      <c r="H17">
        <v>-15.846227379671088</v>
      </c>
      <c r="I17">
        <v>-6.6275928033069391</v>
      </c>
    </row>
    <row r="18" spans="1:9" x14ac:dyDescent="0.35">
      <c r="A18" t="s">
        <v>308</v>
      </c>
      <c r="B18">
        <v>-5.8707397746272328E-3</v>
      </c>
      <c r="C18">
        <v>7.1011320686605331E-2</v>
      </c>
      <c r="D18">
        <v>-8.2673293748986909E-2</v>
      </c>
      <c r="E18">
        <v>0.93472119311319135</v>
      </c>
      <c r="F18">
        <v>-0.15157393457497187</v>
      </c>
      <c r="G18">
        <v>0.13983245502571739</v>
      </c>
      <c r="H18">
        <v>-0.15157393457497187</v>
      </c>
      <c r="I18">
        <v>0.13983245502571739</v>
      </c>
    </row>
    <row r="19" spans="1:9" ht="15" thickBot="1" x14ac:dyDescent="0.4">
      <c r="A19" s="29" t="s">
        <v>313</v>
      </c>
      <c r="B19" s="29">
        <v>5.7455345759153044E-2</v>
      </c>
      <c r="C19" s="29">
        <v>1.0964194754328999E-2</v>
      </c>
      <c r="D19" s="29">
        <v>5.2402704481756786</v>
      </c>
      <c r="E19" s="29">
        <v>1.5978187046178793E-5</v>
      </c>
      <c r="F19" s="29">
        <v>3.4958676373587738E-2</v>
      </c>
      <c r="G19" s="29">
        <v>7.995201514471835E-2</v>
      </c>
      <c r="H19" s="29">
        <v>3.4958676373587738E-2</v>
      </c>
      <c r="I19" s="29">
        <v>7.995201514471835E-2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02DC1-B142-453A-8A59-45B95F4D0E8B}">
  <sheetPr>
    <tabColor rgb="FFFFFF00"/>
  </sheetPr>
  <dimension ref="A1:I19"/>
  <sheetViews>
    <sheetView workbookViewId="0">
      <selection activeCell="P35" sqref="P35"/>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0.75390108509197484</v>
      </c>
    </row>
    <row r="5" spans="1:9" x14ac:dyDescent="0.35">
      <c r="A5" t="s">
        <v>276</v>
      </c>
      <c r="B5">
        <v>0.56836684610285715</v>
      </c>
    </row>
    <row r="6" spans="1:9" x14ac:dyDescent="0.35">
      <c r="A6" t="s">
        <v>277</v>
      </c>
      <c r="B6">
        <v>0.53639401988825397</v>
      </c>
    </row>
    <row r="7" spans="1:9" x14ac:dyDescent="0.35">
      <c r="A7" t="s">
        <v>278</v>
      </c>
      <c r="B7">
        <v>0.34549271753229743</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4.2438057842346666</v>
      </c>
      <c r="D12">
        <v>2.1219028921173333</v>
      </c>
      <c r="E12">
        <v>17.776559453579456</v>
      </c>
      <c r="F12">
        <v>1.1859045646179271E-5</v>
      </c>
    </row>
    <row r="13" spans="1:9" x14ac:dyDescent="0.35">
      <c r="A13" t="s">
        <v>282</v>
      </c>
      <c r="B13">
        <v>27</v>
      </c>
      <c r="C13">
        <v>3.2228608824320006</v>
      </c>
      <c r="D13">
        <v>0.11936521786785187</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-2.6222745371293175</v>
      </c>
      <c r="C17">
        <v>0.91996124646725219</v>
      </c>
      <c r="D17">
        <v>-2.8504184792556502</v>
      </c>
      <c r="E17">
        <v>8.2630683971953028E-3</v>
      </c>
      <c r="F17">
        <v>-4.5098790966100673</v>
      </c>
      <c r="G17">
        <v>-0.7346699776485679</v>
      </c>
      <c r="H17">
        <v>-4.5098790966100673</v>
      </c>
      <c r="I17">
        <v>-0.7346699776485679</v>
      </c>
    </row>
    <row r="18" spans="1:9" x14ac:dyDescent="0.35">
      <c r="A18" t="s">
        <v>312</v>
      </c>
      <c r="B18">
        <v>5.7013954140629111E-2</v>
      </c>
      <c r="C18">
        <v>9.8089162673714852E-3</v>
      </c>
      <c r="D18">
        <v>5.8124621096299007</v>
      </c>
      <c r="E18">
        <v>3.4727736394497061E-6</v>
      </c>
      <c r="F18">
        <v>3.68877204096364E-2</v>
      </c>
      <c r="G18">
        <v>7.7140187871621829E-2</v>
      </c>
      <c r="H18">
        <v>3.68877204096364E-2</v>
      </c>
      <c r="I18">
        <v>7.7140187871621829E-2</v>
      </c>
    </row>
    <row r="19" spans="1:9" ht="15" thickBot="1" x14ac:dyDescent="0.4">
      <c r="A19" s="29" t="s">
        <v>314</v>
      </c>
      <c r="B19" s="29">
        <v>1.2200538407803641</v>
      </c>
      <c r="C19" s="29">
        <v>1.387997414732699</v>
      </c>
      <c r="D19" s="29">
        <v>0.8790029634279416</v>
      </c>
      <c r="E19" s="29">
        <v>0.38715580922982673</v>
      </c>
      <c r="F19" s="29">
        <v>-1.6278816115639314</v>
      </c>
      <c r="G19" s="29">
        <v>4.0679892931246595</v>
      </c>
      <c r="H19" s="29">
        <v>-1.6278816115639314</v>
      </c>
      <c r="I19" s="29">
        <v>4.0679892931246595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A87E6-10CF-41F0-B4C9-6BFBD2E81C47}">
  <sheetPr>
    <tabColor rgb="FFFF0000"/>
  </sheetPr>
  <dimension ref="A1:I19"/>
  <sheetViews>
    <sheetView workbookViewId="0">
      <selection activeCell="L32" sqref="L32"/>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0.26057567623209255</v>
      </c>
    </row>
    <row r="5" spans="1:9" x14ac:dyDescent="0.35">
      <c r="A5" t="s">
        <v>276</v>
      </c>
      <c r="B5">
        <v>6.7899683043812331E-2</v>
      </c>
    </row>
    <row r="6" spans="1:9" x14ac:dyDescent="0.35">
      <c r="A6" t="s">
        <v>277</v>
      </c>
      <c r="B6">
        <v>-1.1447848788682369E-3</v>
      </c>
    </row>
    <row r="7" spans="1:9" x14ac:dyDescent="0.35">
      <c r="A7" t="s">
        <v>278</v>
      </c>
      <c r="B7">
        <v>0.50770662156210589</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0.50698430006046546</v>
      </c>
      <c r="D12">
        <v>0.25349215003023273</v>
      </c>
      <c r="E12">
        <v>0.98341960024733321</v>
      </c>
      <c r="F12">
        <v>0.38703108845930467</v>
      </c>
    </row>
    <row r="13" spans="1:9" x14ac:dyDescent="0.35">
      <c r="A13" t="s">
        <v>282</v>
      </c>
      <c r="B13">
        <v>27</v>
      </c>
      <c r="C13">
        <v>6.9596823666062013</v>
      </c>
      <c r="D13">
        <v>0.25776601357800744</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1.8081925570834843</v>
      </c>
      <c r="C17">
        <v>2.5688406538704047</v>
      </c>
      <c r="D17">
        <v>0.70389440246483492</v>
      </c>
      <c r="E17">
        <v>0.4875252689318772</v>
      </c>
      <c r="F17">
        <v>-3.4626330885029839</v>
      </c>
      <c r="G17">
        <v>7.0790182026699524</v>
      </c>
      <c r="H17">
        <v>-3.4626330885029839</v>
      </c>
      <c r="I17">
        <v>7.0790182026699524</v>
      </c>
    </row>
    <row r="18" spans="1:9" x14ac:dyDescent="0.35">
      <c r="A18" t="s">
        <v>315</v>
      </c>
      <c r="B18">
        <v>-8.6625265082022999E-3</v>
      </c>
      <c r="C18">
        <v>8.0851120055198053E-3</v>
      </c>
      <c r="D18">
        <v>-1.0714170072459461</v>
      </c>
      <c r="E18">
        <v>0.29346608554342668</v>
      </c>
      <c r="F18">
        <v>-2.5251806050288962E-2</v>
      </c>
      <c r="G18">
        <v>7.9267530338843623E-3</v>
      </c>
      <c r="H18">
        <v>-2.5251806050288962E-2</v>
      </c>
      <c r="I18">
        <v>7.9267530338843623E-3</v>
      </c>
    </row>
    <row r="19" spans="1:9" ht="15" thickBot="1" x14ac:dyDescent="0.4">
      <c r="A19" s="29" t="s">
        <v>314</v>
      </c>
      <c r="B19" s="29">
        <v>1.9177336687395137</v>
      </c>
      <c r="C19" s="29">
        <v>2.0349288532063041</v>
      </c>
      <c r="D19" s="29">
        <v>0.94240821526406993</v>
      </c>
      <c r="E19" s="29">
        <v>0.35434027717222005</v>
      </c>
      <c r="F19" s="29">
        <v>-2.2575954511354128</v>
      </c>
      <c r="G19" s="29">
        <v>6.0930627886144402</v>
      </c>
      <c r="H19" s="29">
        <v>-2.2575954511354128</v>
      </c>
      <c r="I19" s="29">
        <v>6.0930627886144402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08C93-E66E-4D58-8F64-891842C979EC}">
  <sheetPr>
    <tabColor rgb="FFFF0000"/>
  </sheetPr>
  <dimension ref="A1:I19"/>
  <sheetViews>
    <sheetView workbookViewId="0">
      <selection activeCell="J15" sqref="J15"/>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0.77102109625948001</v>
      </c>
    </row>
    <row r="5" spans="1:9" x14ac:dyDescent="0.35">
      <c r="A5" t="s">
        <v>276</v>
      </c>
      <c r="B5">
        <v>0.59447353087717036</v>
      </c>
    </row>
    <row r="6" spans="1:9" x14ac:dyDescent="0.35">
      <c r="A6" t="s">
        <v>277</v>
      </c>
      <c r="B6">
        <v>0.5644345331643682</v>
      </c>
    </row>
    <row r="7" spans="1:9" x14ac:dyDescent="0.35">
      <c r="A7" t="s">
        <v>278</v>
      </c>
      <c r="B7">
        <v>0.33488145881957726</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4.4387356972162051</v>
      </c>
      <c r="D12">
        <v>2.2193678486081025</v>
      </c>
      <c r="E12">
        <v>19.790058794931564</v>
      </c>
      <c r="F12">
        <v>5.1080987587585479E-6</v>
      </c>
    </row>
    <row r="13" spans="1:9" x14ac:dyDescent="0.35">
      <c r="A13" t="s">
        <v>282</v>
      </c>
      <c r="B13">
        <v>27</v>
      </c>
      <c r="C13">
        <v>3.0279309694504617</v>
      </c>
      <c r="D13">
        <v>0.11214559146112821</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-6.1754736423846461</v>
      </c>
      <c r="C17">
        <v>2.7012711200269397</v>
      </c>
      <c r="D17">
        <v>-2.2861361810742857</v>
      </c>
      <c r="E17">
        <v>3.0315629741151883E-2</v>
      </c>
      <c r="F17">
        <v>-11.718024159742802</v>
      </c>
      <c r="G17">
        <v>-0.6329231250264904</v>
      </c>
      <c r="H17">
        <v>-11.718024159742802</v>
      </c>
      <c r="I17">
        <v>-0.6329231250264904</v>
      </c>
    </row>
    <row r="18" spans="1:9" x14ac:dyDescent="0.35">
      <c r="A18" t="s">
        <v>260</v>
      </c>
      <c r="B18">
        <v>0.14774889273305775</v>
      </c>
      <c r="C18">
        <v>9.2332721576617524E-2</v>
      </c>
      <c r="D18">
        <v>1.6001791153795459</v>
      </c>
      <c r="E18">
        <v>0.12119640549771028</v>
      </c>
      <c r="F18">
        <v>-4.1702203067523841E-2</v>
      </c>
      <c r="G18">
        <v>0.33719998853363931</v>
      </c>
      <c r="H18">
        <v>-4.1702203067523841E-2</v>
      </c>
      <c r="I18">
        <v>0.33719998853363931</v>
      </c>
    </row>
    <row r="19" spans="1:9" ht="15" thickBot="1" x14ac:dyDescent="0.4">
      <c r="A19" s="29" t="s">
        <v>312</v>
      </c>
      <c r="B19" s="29">
        <v>3.0726137641288086E-2</v>
      </c>
      <c r="C19" s="29">
        <v>1.9326774974181921E-2</v>
      </c>
      <c r="D19" s="29">
        <v>1.5898222896646876</v>
      </c>
      <c r="E19" s="29">
        <v>0.12351735815433335</v>
      </c>
      <c r="F19" s="29">
        <v>-8.9291290358858716E-3</v>
      </c>
      <c r="G19" s="29">
        <v>7.0381404318462043E-2</v>
      </c>
      <c r="H19" s="29">
        <v>-8.9291290358858716E-3</v>
      </c>
      <c r="I19" s="29">
        <v>7.0381404318462043E-2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7AD30-6B41-4203-AD1A-80C25CE4C6EB}">
  <sheetPr>
    <tabColor rgb="FFFFFF00"/>
  </sheetPr>
  <dimension ref="A1:I19"/>
  <sheetViews>
    <sheetView workbookViewId="0">
      <selection activeCell="L24" sqref="L24"/>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0.81521113249741928</v>
      </c>
    </row>
    <row r="5" spans="1:9" x14ac:dyDescent="0.35">
      <c r="A5" t="s">
        <v>276</v>
      </c>
      <c r="B5">
        <v>0.6645691905477249</v>
      </c>
    </row>
    <row r="6" spans="1:9" x14ac:dyDescent="0.35">
      <c r="A6" t="s">
        <v>277</v>
      </c>
      <c r="B6">
        <v>0.63972246392163046</v>
      </c>
    </row>
    <row r="7" spans="1:9" x14ac:dyDescent="0.35">
      <c r="A7" t="s">
        <v>278</v>
      </c>
      <c r="B7">
        <v>0.30456709069992982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4.962116622756346</v>
      </c>
      <c r="D12">
        <v>2.481058311378173</v>
      </c>
      <c r="E12">
        <v>26.746750207722862</v>
      </c>
      <c r="F12">
        <v>3.9413030371861638E-7</v>
      </c>
    </row>
    <row r="13" spans="1:9" x14ac:dyDescent="0.35">
      <c r="A13" t="s">
        <v>282</v>
      </c>
      <c r="B13">
        <v>27</v>
      </c>
      <c r="C13">
        <v>2.5045500439103208</v>
      </c>
      <c r="D13">
        <v>9.2761112737419285E-2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-7.0639910221362712</v>
      </c>
      <c r="C17">
        <v>2.8208666617169307</v>
      </c>
      <c r="D17">
        <v>-2.5041917500052087</v>
      </c>
      <c r="E17">
        <v>1.8615428533175538E-2</v>
      </c>
      <c r="F17">
        <v>-12.851931321568941</v>
      </c>
      <c r="G17">
        <v>-1.2760507227036015</v>
      </c>
      <c r="H17">
        <v>-12.851931321568941</v>
      </c>
      <c r="I17">
        <v>-1.2760507227036015</v>
      </c>
    </row>
    <row r="18" spans="1:9" x14ac:dyDescent="0.35">
      <c r="A18" t="s">
        <v>246</v>
      </c>
      <c r="B18">
        <v>3.0933841856425573E-2</v>
      </c>
      <c r="C18">
        <v>1.7493484257622108E-2</v>
      </c>
      <c r="D18">
        <v>1.7683064963429083</v>
      </c>
      <c r="E18">
        <v>8.8308785473291712E-2</v>
      </c>
      <c r="F18">
        <v>-4.9598229829309476E-3</v>
      </c>
      <c r="G18">
        <v>6.6827506695782093E-2</v>
      </c>
      <c r="H18">
        <v>-4.9598229829309476E-3</v>
      </c>
      <c r="I18">
        <v>6.6827506695782093E-2</v>
      </c>
    </row>
    <row r="19" spans="1:9" ht="15" thickBot="1" x14ac:dyDescent="0.4">
      <c r="A19" s="29" t="s">
        <v>313</v>
      </c>
      <c r="B19" s="29">
        <v>3.7083935453729573E-2</v>
      </c>
      <c r="C19" s="29">
        <v>1.3767747634312334E-2</v>
      </c>
      <c r="D19" s="29">
        <v>2.6935368397738522</v>
      </c>
      <c r="E19" s="29">
        <v>1.2002686120695579E-2</v>
      </c>
      <c r="F19" s="29">
        <v>8.8348507144482627E-3</v>
      </c>
      <c r="G19" s="29">
        <v>6.5333020193010877E-2</v>
      </c>
      <c r="H19" s="29">
        <v>8.8348507144482627E-3</v>
      </c>
      <c r="I19" s="29">
        <v>6.5333020193010877E-2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F7143-2CDD-4B6C-802B-D70B48EC678F}">
  <sheetPr>
    <tabColor rgb="FFFFFF00"/>
  </sheetPr>
  <dimension ref="A1:I19"/>
  <sheetViews>
    <sheetView workbookViewId="0">
      <selection activeCell="F25" sqref="F25"/>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0.81521113249741928</v>
      </c>
    </row>
    <row r="5" spans="1:9" x14ac:dyDescent="0.35">
      <c r="A5" t="s">
        <v>276</v>
      </c>
      <c r="B5">
        <v>0.6645691905477249</v>
      </c>
    </row>
    <row r="6" spans="1:9" x14ac:dyDescent="0.35">
      <c r="A6" t="s">
        <v>277</v>
      </c>
      <c r="B6">
        <v>0.63972246392163046</v>
      </c>
    </row>
    <row r="7" spans="1:9" x14ac:dyDescent="0.35">
      <c r="A7" t="s">
        <v>278</v>
      </c>
      <c r="B7">
        <v>0.30456709069992982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4.962116622756346</v>
      </c>
      <c r="D12">
        <v>2.481058311378173</v>
      </c>
      <c r="E12">
        <v>26.746750207722862</v>
      </c>
      <c r="F12">
        <v>3.9413030371861638E-7</v>
      </c>
    </row>
    <row r="13" spans="1:9" x14ac:dyDescent="0.35">
      <c r="A13" t="s">
        <v>282</v>
      </c>
      <c r="B13">
        <v>27</v>
      </c>
      <c r="C13">
        <v>2.5045500439103208</v>
      </c>
      <c r="D13">
        <v>9.2761112737419285E-2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-7.0639910221362712</v>
      </c>
      <c r="C17">
        <v>2.8208666617169307</v>
      </c>
      <c r="D17">
        <v>-2.5041917500052087</v>
      </c>
      <c r="E17">
        <v>1.8615428533175538E-2</v>
      </c>
      <c r="F17">
        <v>-12.851931321568941</v>
      </c>
      <c r="G17">
        <v>-1.2760507227036015</v>
      </c>
      <c r="H17">
        <v>-12.851931321568941</v>
      </c>
      <c r="I17">
        <v>-1.2760507227036015</v>
      </c>
    </row>
    <row r="18" spans="1:9" x14ac:dyDescent="0.35">
      <c r="A18" t="s">
        <v>246</v>
      </c>
      <c r="B18">
        <v>3.0933841856425573E-2</v>
      </c>
      <c r="C18">
        <v>1.7493484257622108E-2</v>
      </c>
      <c r="D18">
        <v>1.7683064963429083</v>
      </c>
      <c r="E18">
        <v>8.8308785473291712E-2</v>
      </c>
      <c r="F18">
        <v>-4.9598229829309476E-3</v>
      </c>
      <c r="G18">
        <v>6.6827506695782093E-2</v>
      </c>
      <c r="H18">
        <v>-4.9598229829309476E-3</v>
      </c>
      <c r="I18">
        <v>6.6827506695782093E-2</v>
      </c>
    </row>
    <row r="19" spans="1:9" ht="15" thickBot="1" x14ac:dyDescent="0.4">
      <c r="A19" s="29" t="s">
        <v>313</v>
      </c>
      <c r="B19" s="29">
        <v>3.7083935453729573E-2</v>
      </c>
      <c r="C19" s="29">
        <v>1.3767747634312334E-2</v>
      </c>
      <c r="D19" s="29">
        <v>2.6935368397738522</v>
      </c>
      <c r="E19" s="29">
        <v>1.2002686120695579E-2</v>
      </c>
      <c r="F19" s="29">
        <v>8.8348507144482627E-3</v>
      </c>
      <c r="G19" s="29">
        <v>6.5333020193010877E-2</v>
      </c>
      <c r="H19" s="29">
        <v>8.8348507144482627E-3</v>
      </c>
      <c r="I19" s="29">
        <v>6.5333020193010877E-2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33032-A79A-45E5-9CCA-8E5DE095A98E}">
  <sheetPr>
    <tabColor rgb="FFFFFF00"/>
  </sheetPr>
  <dimension ref="A1:I19"/>
  <sheetViews>
    <sheetView workbookViewId="0">
      <selection sqref="A1:I22"/>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0.80164537082900567</v>
      </c>
    </row>
    <row r="5" spans="1:9" x14ac:dyDescent="0.35">
      <c r="A5" t="s">
        <v>276</v>
      </c>
      <c r="B5">
        <v>0.64263530057157392</v>
      </c>
    </row>
    <row r="6" spans="1:9" x14ac:dyDescent="0.35">
      <c r="A6" t="s">
        <v>277</v>
      </c>
      <c r="B6">
        <v>0.61616384135465341</v>
      </c>
    </row>
    <row r="7" spans="1:9" x14ac:dyDescent="0.35">
      <c r="A7" t="s">
        <v>278</v>
      </c>
      <c r="B7">
        <v>0.31436727100082001</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4.7983435776010852</v>
      </c>
      <c r="D12">
        <v>2.3991717888005426</v>
      </c>
      <c r="E12">
        <v>24.276534788108847</v>
      </c>
      <c r="F12">
        <v>9.2684536566270713E-7</v>
      </c>
    </row>
    <row r="13" spans="1:9" x14ac:dyDescent="0.35">
      <c r="A13" t="s">
        <v>282</v>
      </c>
      <c r="B13">
        <v>27</v>
      </c>
      <c r="C13">
        <v>2.6683230890655816</v>
      </c>
      <c r="D13">
        <v>9.8826781076503015E-2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-8.3800103427666439</v>
      </c>
      <c r="C17">
        <v>2.9573815495318518</v>
      </c>
      <c r="D17">
        <v>-2.8335912030333672</v>
      </c>
      <c r="E17">
        <v>8.6040552948841477E-3</v>
      </c>
      <c r="F17">
        <v>-14.44805605497185</v>
      </c>
      <c r="G17">
        <v>-2.3119646305614365</v>
      </c>
      <c r="H17">
        <v>-14.44805605497185</v>
      </c>
      <c r="I17">
        <v>-2.3119646305614365</v>
      </c>
    </row>
    <row r="18" spans="1:9" x14ac:dyDescent="0.35">
      <c r="A18" t="s">
        <v>316</v>
      </c>
      <c r="B18">
        <v>2.1803983994304409E-2</v>
      </c>
      <c r="C18">
        <v>1.9288646439978022E-2</v>
      </c>
      <c r="D18">
        <v>1.1304050837446555</v>
      </c>
      <c r="E18">
        <v>0.26824757990138154</v>
      </c>
      <c r="F18">
        <v>-1.7773049392841328E-2</v>
      </c>
      <c r="G18">
        <v>6.1381017381450145E-2</v>
      </c>
      <c r="H18">
        <v>-1.7773049392841328E-2</v>
      </c>
      <c r="I18">
        <v>6.1381017381450145E-2</v>
      </c>
    </row>
    <row r="19" spans="1:9" ht="15" thickBot="1" x14ac:dyDescent="0.4">
      <c r="A19" s="29" t="s">
        <v>313</v>
      </c>
      <c r="B19" s="29">
        <v>4.0668726658654654E-2</v>
      </c>
      <c r="C19" s="29">
        <v>1.6555446599574083E-2</v>
      </c>
      <c r="D19" s="29">
        <v>2.4565164348813715</v>
      </c>
      <c r="E19" s="29">
        <v>2.0745036562298903E-2</v>
      </c>
      <c r="F19" s="29">
        <v>6.6997561116887705E-3</v>
      </c>
      <c r="G19" s="29">
        <v>7.4637697205620537E-2</v>
      </c>
      <c r="H19" s="29">
        <v>6.6997561116887705E-3</v>
      </c>
      <c r="I19" s="29">
        <v>7.4637697205620537E-2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AE4F-5231-4540-ABBA-25A70508D40E}">
  <sheetPr>
    <tabColor rgb="FFFFFF00"/>
  </sheetPr>
  <dimension ref="A1:I19"/>
  <sheetViews>
    <sheetView workbookViewId="0">
      <selection activeCell="K11" sqref="K11"/>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0.81952355249505149</v>
      </c>
    </row>
    <row r="5" spans="1:9" x14ac:dyDescent="0.35">
      <c r="A5" t="s">
        <v>276</v>
      </c>
      <c r="B5">
        <v>0.6716188530941094</v>
      </c>
    </row>
    <row r="6" spans="1:9" x14ac:dyDescent="0.35">
      <c r="A6" t="s">
        <v>277</v>
      </c>
      <c r="B6">
        <v>0.64729432369367301</v>
      </c>
    </row>
    <row r="7" spans="1:9" x14ac:dyDescent="0.35">
      <c r="A7" t="s">
        <v>278</v>
      </c>
      <c r="B7">
        <v>0.30134959171748626</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5.0147541031026837</v>
      </c>
      <c r="D12">
        <v>2.5073770515513418</v>
      </c>
      <c r="E12">
        <v>27.610764510085929</v>
      </c>
      <c r="F12">
        <v>2.9587338964437706E-7</v>
      </c>
    </row>
    <row r="13" spans="1:9" x14ac:dyDescent="0.35">
      <c r="A13" t="s">
        <v>282</v>
      </c>
      <c r="B13">
        <v>27</v>
      </c>
      <c r="C13">
        <v>2.4519125635639831</v>
      </c>
      <c r="D13">
        <v>9.0811576428295668E-2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-7.0392560298749096</v>
      </c>
      <c r="C17">
        <v>2.6792211018018741</v>
      </c>
      <c r="D17">
        <v>-2.6273516676696644</v>
      </c>
      <c r="E17">
        <v>1.4014013816697922E-2</v>
      </c>
      <c r="F17">
        <v>-12.536563646949929</v>
      </c>
      <c r="G17">
        <v>-1.5419484127998899</v>
      </c>
      <c r="H17">
        <v>-12.536563646949929</v>
      </c>
      <c r="I17">
        <v>-1.5419484127998899</v>
      </c>
    </row>
    <row r="18" spans="1:9" x14ac:dyDescent="0.35">
      <c r="A18" t="s">
        <v>246</v>
      </c>
      <c r="B18">
        <v>3.2225535047561087E-2</v>
      </c>
      <c r="C18">
        <v>1.6524065422348012E-2</v>
      </c>
      <c r="D18">
        <v>1.9502183163701099</v>
      </c>
      <c r="E18">
        <v>6.1603136459969982E-2</v>
      </c>
      <c r="F18">
        <v>-1.6790466423292696E-3</v>
      </c>
      <c r="G18">
        <v>6.613011673745145E-2</v>
      </c>
      <c r="H18">
        <v>-1.6790466423292696E-3</v>
      </c>
      <c r="I18">
        <v>6.613011673745145E-2</v>
      </c>
    </row>
    <row r="19" spans="1:9" ht="15" thickBot="1" x14ac:dyDescent="0.4">
      <c r="A19" s="29" t="s">
        <v>317</v>
      </c>
      <c r="B19" s="29">
        <v>9.0021007820777876E-2</v>
      </c>
      <c r="C19" s="29">
        <v>3.1846091859832823E-2</v>
      </c>
      <c r="D19" s="29">
        <v>2.82675212446776</v>
      </c>
      <c r="E19" s="29">
        <v>8.7464017756905925E-3</v>
      </c>
      <c r="F19" s="29">
        <v>2.4678224712138472E-2</v>
      </c>
      <c r="G19" s="29">
        <v>0.15536379092941727</v>
      </c>
      <c r="H19" s="29">
        <v>2.4678224712138472E-2</v>
      </c>
      <c r="I19" s="29">
        <v>0.15536379092941727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A4B3-A9E6-4FBC-A702-3E21FB34BDA1}">
  <sheetPr>
    <tabColor rgb="FFFFFF00"/>
  </sheetPr>
  <dimension ref="A1:I19"/>
  <sheetViews>
    <sheetView workbookViewId="0">
      <selection activeCell="O35" sqref="O35:P35"/>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0.79783942109238859</v>
      </c>
    </row>
    <row r="5" spans="1:9" x14ac:dyDescent="0.35">
      <c r="A5" t="s">
        <v>276</v>
      </c>
      <c r="B5">
        <v>0.63654774184903773</v>
      </c>
    </row>
    <row r="6" spans="1:9" x14ac:dyDescent="0.35">
      <c r="A6" t="s">
        <v>277</v>
      </c>
      <c r="B6">
        <v>0.60962535235637383</v>
      </c>
    </row>
    <row r="7" spans="1:9" x14ac:dyDescent="0.35">
      <c r="A7" t="s">
        <v>278</v>
      </c>
      <c r="B7">
        <v>0.31703352205397006</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4.7528898058061486</v>
      </c>
      <c r="D12">
        <v>2.3764449029030743</v>
      </c>
      <c r="E12">
        <v>23.643805540458875</v>
      </c>
      <c r="F12">
        <v>1.1642319548115309E-6</v>
      </c>
    </row>
    <row r="13" spans="1:9" x14ac:dyDescent="0.35">
      <c r="A13" t="s">
        <v>282</v>
      </c>
      <c r="B13">
        <v>27</v>
      </c>
      <c r="C13">
        <v>2.7137768608605177</v>
      </c>
      <c r="D13">
        <v>0.10051025410594511</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-9.8962068972660084</v>
      </c>
      <c r="C17">
        <v>2.187109842152712</v>
      </c>
      <c r="D17">
        <v>-4.5247873273367212</v>
      </c>
      <c r="E17">
        <v>1.0918462129975855E-4</v>
      </c>
      <c r="F17">
        <v>-14.383785614289323</v>
      </c>
      <c r="G17">
        <v>-5.408628180242693</v>
      </c>
      <c r="H17">
        <v>-14.383785614289323</v>
      </c>
      <c r="I17">
        <v>-5.408628180242693</v>
      </c>
    </row>
    <row r="18" spans="1:9" x14ac:dyDescent="0.35">
      <c r="A18" t="s">
        <v>248</v>
      </c>
      <c r="B18">
        <v>-4.1977687312959484E-2</v>
      </c>
      <c r="C18">
        <v>4.6810261640208232E-2</v>
      </c>
      <c r="D18">
        <v>-0.89676250125682377</v>
      </c>
      <c r="E18">
        <v>0.37777224760548822</v>
      </c>
      <c r="F18">
        <v>-0.13802441063076526</v>
      </c>
      <c r="G18">
        <v>5.4069036004846284E-2</v>
      </c>
      <c r="H18">
        <v>-0.13802441063076526</v>
      </c>
      <c r="I18">
        <v>5.4069036004846284E-2</v>
      </c>
    </row>
    <row r="19" spans="1:9" ht="15" thickBot="1" x14ac:dyDescent="0.4">
      <c r="A19" s="29" t="s">
        <v>313</v>
      </c>
      <c r="B19" s="29">
        <v>5.4779941875878119E-2</v>
      </c>
      <c r="C19" s="29">
        <v>8.6648847341830974E-3</v>
      </c>
      <c r="D19" s="29">
        <v>6.322062388178165</v>
      </c>
      <c r="E19" s="29">
        <v>9.0960736163264866E-7</v>
      </c>
      <c r="F19" s="29">
        <v>3.7001066956497068E-2</v>
      </c>
      <c r="G19" s="29">
        <v>7.2558816795259162E-2</v>
      </c>
      <c r="H19" s="29">
        <v>3.7001066956497068E-2</v>
      </c>
      <c r="I19" s="29">
        <v>7.2558816795259162E-2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5622A-0E0F-43BC-BA1A-75CA4AF424A4}">
  <sheetPr>
    <tabColor rgb="FFFFFF00"/>
  </sheetPr>
  <dimension ref="A1:I19"/>
  <sheetViews>
    <sheetView workbookViewId="0">
      <selection sqref="A1:I22"/>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0.81131039798921711</v>
      </c>
    </row>
    <row r="5" spans="1:9" x14ac:dyDescent="0.35">
      <c r="A5" t="s">
        <v>276</v>
      </c>
      <c r="B5">
        <v>0.65822456188542189</v>
      </c>
    </row>
    <row r="6" spans="1:9" x14ac:dyDescent="0.35">
      <c r="A6" t="s">
        <v>277</v>
      </c>
      <c r="B6">
        <v>0.63290786276582345</v>
      </c>
    </row>
    <row r="7" spans="1:9" x14ac:dyDescent="0.35">
      <c r="A7" t="s">
        <v>278</v>
      </c>
      <c r="B7">
        <v>0.30743402009726783</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4.9147433954111506</v>
      </c>
      <c r="D12">
        <v>2.4573716977055753</v>
      </c>
      <c r="E12">
        <v>25.999620202298473</v>
      </c>
      <c r="F12">
        <v>5.0757644220207274E-7</v>
      </c>
    </row>
    <row r="13" spans="1:9" x14ac:dyDescent="0.35">
      <c r="A13" t="s">
        <v>282</v>
      </c>
      <c r="B13">
        <v>27</v>
      </c>
      <c r="C13">
        <v>2.5519232712555167</v>
      </c>
      <c r="D13">
        <v>9.4515676713167282E-2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-6.9556503132706577</v>
      </c>
      <c r="C17">
        <v>2.9111158482258364</v>
      </c>
      <c r="D17">
        <v>-2.3893416393956772</v>
      </c>
      <c r="E17">
        <v>2.4127380156051849E-2</v>
      </c>
      <c r="F17">
        <v>-12.928766647669821</v>
      </c>
      <c r="G17">
        <v>-0.98253397887149418</v>
      </c>
      <c r="H17">
        <v>-12.928766647669821</v>
      </c>
      <c r="I17">
        <v>-0.98253397887149418</v>
      </c>
    </row>
    <row r="18" spans="1:9" x14ac:dyDescent="0.35">
      <c r="A18" t="s">
        <v>246</v>
      </c>
      <c r="B18">
        <v>3.0676256687610103E-2</v>
      </c>
      <c r="C18">
        <v>1.8177237099267312E-2</v>
      </c>
      <c r="D18">
        <v>1.6876193296090418</v>
      </c>
      <c r="E18">
        <v>0.10300498805449816</v>
      </c>
      <c r="F18">
        <v>-6.6203530979641566E-3</v>
      </c>
      <c r="G18">
        <v>6.797286647318436E-2</v>
      </c>
      <c r="H18">
        <v>-6.6203530979641566E-3</v>
      </c>
      <c r="I18">
        <v>6.797286647318436E-2</v>
      </c>
    </row>
    <row r="19" spans="1:9" ht="15" thickBot="1" x14ac:dyDescent="0.4">
      <c r="A19" s="29" t="s">
        <v>318</v>
      </c>
      <c r="B19" s="29">
        <v>6.2021452259921443E-2</v>
      </c>
      <c r="C19" s="29">
        <v>2.410671059082586E-2</v>
      </c>
      <c r="D19" s="29">
        <v>2.5727878561550641</v>
      </c>
      <c r="E19" s="29">
        <v>1.5903924855427843E-2</v>
      </c>
      <c r="F19" s="29">
        <v>1.2558567817706437E-2</v>
      </c>
      <c r="G19" s="29">
        <v>0.11148433670213645</v>
      </c>
      <c r="H19" s="29">
        <v>1.2558567817706437E-2</v>
      </c>
      <c r="I19" s="29">
        <v>0.11148433670213645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9BE7C-3E3D-403F-82A0-60B1EB33C62A}">
  <sheetPr>
    <tabColor rgb="FFFFFF00"/>
  </sheetPr>
  <dimension ref="A1:I19"/>
  <sheetViews>
    <sheetView workbookViewId="0">
      <selection activeCell="P38" sqref="P38"/>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0.80255422206740279</v>
      </c>
    </row>
    <row r="5" spans="1:9" x14ac:dyDescent="0.35">
      <c r="A5" t="s">
        <v>276</v>
      </c>
      <c r="B5">
        <v>0.64409327935821414</v>
      </c>
    </row>
    <row r="6" spans="1:9" x14ac:dyDescent="0.35">
      <c r="A6" t="s">
        <v>277</v>
      </c>
      <c r="B6">
        <v>0.6177298185699337</v>
      </c>
    </row>
    <row r="7" spans="1:9" x14ac:dyDescent="0.35">
      <c r="A7" t="s">
        <v>278</v>
      </c>
      <c r="B7">
        <v>0.31372533678827025</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4.8092298192079994</v>
      </c>
      <c r="D12">
        <v>2.4046149096039997</v>
      </c>
      <c r="E12">
        <v>24.431287095832971</v>
      </c>
      <c r="F12">
        <v>8.7707867243096112E-7</v>
      </c>
    </row>
    <row r="13" spans="1:9" x14ac:dyDescent="0.35">
      <c r="A13" t="s">
        <v>282</v>
      </c>
      <c r="B13">
        <v>27</v>
      </c>
      <c r="C13">
        <v>2.6574368474586674</v>
      </c>
      <c r="D13">
        <v>9.8423586942913602E-2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-8.7458366285735227</v>
      </c>
      <c r="C17">
        <v>2.4286537420039789</v>
      </c>
      <c r="D17">
        <v>-3.6011047920552826</v>
      </c>
      <c r="E17">
        <v>1.2583580134051448E-3</v>
      </c>
      <c r="F17">
        <v>-13.729022490381325</v>
      </c>
      <c r="G17">
        <v>-3.7626507667657201</v>
      </c>
      <c r="H17">
        <v>-13.729022490381325</v>
      </c>
      <c r="I17">
        <v>-3.7626507667657201</v>
      </c>
    </row>
    <row r="18" spans="1:9" x14ac:dyDescent="0.35">
      <c r="A18" t="s">
        <v>319</v>
      </c>
      <c r="B18">
        <v>-4.7534814519583003E-2</v>
      </c>
      <c r="C18">
        <v>3.6861528855709272E-2</v>
      </c>
      <c r="D18">
        <v>-1.2895508134145284</v>
      </c>
      <c r="E18">
        <v>0.20814424228970188</v>
      </c>
      <c r="F18">
        <v>-0.12316842430984593</v>
      </c>
      <c r="G18">
        <v>2.8098795270679912E-2</v>
      </c>
      <c r="H18">
        <v>-0.12316842430984593</v>
      </c>
      <c r="I18">
        <v>2.8098795270679912E-2</v>
      </c>
    </row>
    <row r="19" spans="1:9" ht="15" thickBot="1" x14ac:dyDescent="0.4">
      <c r="A19" s="29" t="s">
        <v>318</v>
      </c>
      <c r="B19" s="29">
        <v>8.6306679789089027E-2</v>
      </c>
      <c r="C19" s="29">
        <v>1.5658207453999623E-2</v>
      </c>
      <c r="D19" s="29">
        <v>5.5119131639198873</v>
      </c>
      <c r="E19" s="29">
        <v>7.7244787949199229E-6</v>
      </c>
      <c r="F19" s="29">
        <v>5.4178691901593516E-2</v>
      </c>
      <c r="G19" s="29">
        <v>0.11843466767658453</v>
      </c>
      <c r="H19" s="29">
        <v>5.4178691901593516E-2</v>
      </c>
      <c r="I19" s="29">
        <v>0.11843466767658453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E1F14-51FD-4D2E-A38A-E8C725A14692}">
  <sheetPr>
    <tabColor rgb="FFFFFF00"/>
  </sheetPr>
  <dimension ref="A1:I19"/>
  <sheetViews>
    <sheetView workbookViewId="0">
      <selection activeCell="L11" sqref="L11"/>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0.81464476017517995</v>
      </c>
    </row>
    <row r="5" spans="1:9" x14ac:dyDescent="0.35">
      <c r="A5" t="s">
        <v>276</v>
      </c>
      <c r="B5">
        <v>0.66364608528087643</v>
      </c>
    </row>
    <row r="6" spans="1:9" x14ac:dyDescent="0.35">
      <c r="A6" t="s">
        <v>277</v>
      </c>
      <c r="B6">
        <v>0.63873098048686727</v>
      </c>
    </row>
    <row r="7" spans="1:9" x14ac:dyDescent="0.35">
      <c r="A7" t="s">
        <v>278</v>
      </c>
      <c r="B7">
        <v>0.30498588693735895</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4.9552241034305444</v>
      </c>
      <c r="D12">
        <v>2.4776120517152722</v>
      </c>
      <c r="E12">
        <v>26.636295161818886</v>
      </c>
      <c r="F12">
        <v>4.0902755863190292E-7</v>
      </c>
    </row>
    <row r="13" spans="1:9" x14ac:dyDescent="0.35">
      <c r="A13" t="s">
        <v>282</v>
      </c>
      <c r="B13">
        <v>27</v>
      </c>
      <c r="C13">
        <v>2.5114425632361224</v>
      </c>
      <c r="D13">
        <v>9.3016391230967499E-2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-7.5876143067752402</v>
      </c>
      <c r="C17">
        <v>2.486135715061113</v>
      </c>
      <c r="D17">
        <v>-3.0519710813891452</v>
      </c>
      <c r="E17">
        <v>5.0564264114427914E-3</v>
      </c>
      <c r="F17">
        <v>-12.688743435049169</v>
      </c>
      <c r="G17">
        <v>-2.4864851785013116</v>
      </c>
      <c r="H17">
        <v>-12.688743435049169</v>
      </c>
      <c r="I17">
        <v>-2.4864851785013116</v>
      </c>
    </row>
    <row r="18" spans="1:9" x14ac:dyDescent="0.35">
      <c r="A18" t="s">
        <v>249</v>
      </c>
      <c r="B18">
        <v>-0.188289825552649</v>
      </c>
      <c r="C18">
        <v>0.10319512478087579</v>
      </c>
      <c r="D18">
        <v>-1.8246000085029503</v>
      </c>
      <c r="E18">
        <v>7.9146412030608862E-2</v>
      </c>
      <c r="F18">
        <v>-0.40002873173004094</v>
      </c>
      <c r="G18">
        <v>2.3449080624742935E-2</v>
      </c>
      <c r="H18">
        <v>-0.40002873173004094</v>
      </c>
      <c r="I18">
        <v>2.3449080624742935E-2</v>
      </c>
    </row>
    <row r="19" spans="1:9" ht="15" thickBot="1" x14ac:dyDescent="0.4">
      <c r="A19" s="29" t="s">
        <v>318</v>
      </c>
      <c r="B19" s="29">
        <v>7.5268169759799122E-2</v>
      </c>
      <c r="C19" s="29">
        <v>1.7514434415794377E-2</v>
      </c>
      <c r="D19" s="29">
        <v>4.2974935971625143</v>
      </c>
      <c r="E19" s="29">
        <v>2.0064348352977608E-4</v>
      </c>
      <c r="F19" s="29">
        <v>3.9331518746579648E-2</v>
      </c>
      <c r="G19" s="29">
        <v>0.1112048207730186</v>
      </c>
      <c r="H19" s="29">
        <v>3.9331518746579648E-2</v>
      </c>
      <c r="I19" s="29">
        <v>0.1112048207730186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E9AB9-1564-4367-A62D-6F792731D0A7}">
  <sheetPr>
    <tabColor rgb="FFFFFF00"/>
  </sheetPr>
  <dimension ref="A1:I19"/>
  <sheetViews>
    <sheetView workbookViewId="0">
      <selection sqref="A1:I22"/>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0.79477633521106206</v>
      </c>
    </row>
    <row r="5" spans="1:9" x14ac:dyDescent="0.35">
      <c r="A5" t="s">
        <v>276</v>
      </c>
      <c r="B5">
        <v>0.6316694230115264</v>
      </c>
    </row>
    <row r="6" spans="1:9" x14ac:dyDescent="0.35">
      <c r="A6" t="s">
        <v>277</v>
      </c>
      <c r="B6">
        <v>0.60438567656793574</v>
      </c>
    </row>
    <row r="7" spans="1:9" x14ac:dyDescent="0.35">
      <c r="A7" t="s">
        <v>278</v>
      </c>
      <c r="B7">
        <v>0.31915406946500258</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4.7164650251527309</v>
      </c>
      <c r="D12">
        <v>2.3582325125763655</v>
      </c>
      <c r="E12">
        <v>23.151857986860719</v>
      </c>
      <c r="F12">
        <v>1.3938304245208651E-6</v>
      </c>
    </row>
    <row r="13" spans="1:9" x14ac:dyDescent="0.35">
      <c r="A13" t="s">
        <v>282</v>
      </c>
      <c r="B13">
        <v>27</v>
      </c>
      <c r="C13">
        <v>2.7502016415139359</v>
      </c>
      <c r="D13">
        <v>0.10185932005607169</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-9.8474659550461485</v>
      </c>
      <c r="C17">
        <v>2.2030809652124304</v>
      </c>
      <c r="D17">
        <v>-4.4698611220112898</v>
      </c>
      <c r="E17">
        <v>1.2650864661864291E-4</v>
      </c>
      <c r="F17">
        <v>-14.367814709745856</v>
      </c>
      <c r="G17">
        <v>-5.3271172003464411</v>
      </c>
      <c r="H17">
        <v>-14.367814709745856</v>
      </c>
      <c r="I17">
        <v>-5.3271172003464411</v>
      </c>
    </row>
    <row r="18" spans="1:9" x14ac:dyDescent="0.35">
      <c r="A18" t="s">
        <v>248</v>
      </c>
      <c r="B18">
        <v>-3.9424196496710862E-2</v>
      </c>
      <c r="C18">
        <v>4.7251550886263691E-2</v>
      </c>
      <c r="D18">
        <v>-0.83434714326322168</v>
      </c>
      <c r="E18">
        <v>0.41140691125556006</v>
      </c>
      <c r="F18">
        <v>-0.1363763705561678</v>
      </c>
      <c r="G18">
        <v>5.752797756274608E-2</v>
      </c>
      <c r="H18">
        <v>-0.1363763705561678</v>
      </c>
      <c r="I18">
        <v>5.752797756274608E-2</v>
      </c>
    </row>
    <row r="19" spans="1:9" ht="15" thickBot="1" x14ac:dyDescent="0.4">
      <c r="A19" s="29" t="s">
        <v>318</v>
      </c>
      <c r="B19" s="29">
        <v>9.2139741591467067E-2</v>
      </c>
      <c r="C19" s="29">
        <v>1.4738771725185444E-2</v>
      </c>
      <c r="D19" s="29">
        <v>6.251521043237255</v>
      </c>
      <c r="E19" s="29">
        <v>1.0934386766304495E-6</v>
      </c>
      <c r="F19" s="29">
        <v>6.1898279990294784E-2</v>
      </c>
      <c r="G19" s="29">
        <v>0.12238120319263934</v>
      </c>
      <c r="H19" s="29">
        <v>6.1898279990294784E-2</v>
      </c>
      <c r="I19" s="29">
        <v>0.12238120319263934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8BDF0-44F4-4C62-9E79-81CF7CEDBFE2}">
  <sheetPr>
    <tabColor rgb="FFFFFF00"/>
  </sheetPr>
  <dimension ref="A1:I19"/>
  <sheetViews>
    <sheetView workbookViewId="0">
      <selection activeCell="N33" sqref="N33"/>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0.80191893277010895</v>
      </c>
    </row>
    <row r="5" spans="1:9" x14ac:dyDescent="0.35">
      <c r="A5" t="s">
        <v>276</v>
      </c>
      <c r="B5">
        <v>0.6430739747351506</v>
      </c>
    </row>
    <row r="6" spans="1:9" x14ac:dyDescent="0.35">
      <c r="A6" t="s">
        <v>277</v>
      </c>
      <c r="B6">
        <v>0.6166350099007174</v>
      </c>
    </row>
    <row r="7" spans="1:9" x14ac:dyDescent="0.35">
      <c r="A7" t="s">
        <v>278</v>
      </c>
      <c r="B7">
        <v>0.31417426488370692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4.8016190113557915</v>
      </c>
      <c r="D12">
        <v>2.4008095056778957</v>
      </c>
      <c r="E12">
        <v>24.322963427737189</v>
      </c>
      <c r="F12">
        <v>9.1160334880791766E-7</v>
      </c>
    </row>
    <row r="13" spans="1:9" x14ac:dyDescent="0.35">
      <c r="A13" t="s">
        <v>282</v>
      </c>
      <c r="B13">
        <v>27</v>
      </c>
      <c r="C13">
        <v>2.6650476553108757</v>
      </c>
      <c r="D13">
        <v>9.8705468715217626E-2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-8.3426063200850322</v>
      </c>
      <c r="C17">
        <v>2.7058417715464218</v>
      </c>
      <c r="D17">
        <v>-3.0831833582483021</v>
      </c>
      <c r="E17">
        <v>4.6811641277917189E-3</v>
      </c>
      <c r="F17">
        <v>-13.894535039711059</v>
      </c>
      <c r="G17">
        <v>-2.7906776004590057</v>
      </c>
      <c r="H17">
        <v>-13.894535039711059</v>
      </c>
      <c r="I17">
        <v>-2.7906776004590057</v>
      </c>
    </row>
    <row r="18" spans="1:9" x14ac:dyDescent="0.35">
      <c r="A18" t="s">
        <v>320</v>
      </c>
      <c r="B18">
        <v>2.0043753585490851E-2</v>
      </c>
      <c r="C18">
        <v>1.5940476570070933E-2</v>
      </c>
      <c r="D18">
        <v>1.2574124429331073</v>
      </c>
      <c r="E18">
        <v>0.21937221491070891</v>
      </c>
      <c r="F18">
        <v>-1.266340268821969E-2</v>
      </c>
      <c r="G18">
        <v>5.2750909859201389E-2</v>
      </c>
      <c r="H18">
        <v>-1.266340268821969E-2</v>
      </c>
      <c r="I18">
        <v>5.2750909859201389E-2</v>
      </c>
    </row>
    <row r="19" spans="1:9" ht="15" thickBot="1" x14ac:dyDescent="0.4">
      <c r="A19" s="29" t="s">
        <v>318</v>
      </c>
      <c r="B19" s="29">
        <v>7.1379326870060419E-2</v>
      </c>
      <c r="C19" s="29">
        <v>2.3755807167468612E-2</v>
      </c>
      <c r="D19" s="29">
        <v>3.0047106531411751</v>
      </c>
      <c r="E19" s="29">
        <v>5.6797233712728972E-3</v>
      </c>
      <c r="F19" s="29">
        <v>2.2636436780227219E-2</v>
      </c>
      <c r="G19" s="29">
        <v>0.12012221695989361</v>
      </c>
      <c r="H19" s="29">
        <v>2.2636436780227219E-2</v>
      </c>
      <c r="I19" s="29">
        <v>0.12012221695989361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F24F1-B6A4-420F-830B-308391DE6D27}">
  <sheetPr>
    <tabColor rgb="FFFF0000"/>
  </sheetPr>
  <dimension ref="A1:I19"/>
  <sheetViews>
    <sheetView workbookViewId="0">
      <selection activeCell="O35" sqref="O35"/>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0.75601927005970271</v>
      </c>
    </row>
    <row r="5" spans="1:9" x14ac:dyDescent="0.35">
      <c r="A5" t="s">
        <v>276</v>
      </c>
      <c r="B5">
        <v>0.57156513670160569</v>
      </c>
    </row>
    <row r="6" spans="1:9" x14ac:dyDescent="0.35">
      <c r="A6" t="s">
        <v>277</v>
      </c>
      <c r="B6">
        <v>0.53982922090172469</v>
      </c>
    </row>
    <row r="7" spans="1:9" x14ac:dyDescent="0.35">
      <c r="A7" t="s">
        <v>278</v>
      </c>
      <c r="B7">
        <v>0.3442103315119347</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4.2676863540386556</v>
      </c>
      <c r="D12">
        <v>2.1338431770193278</v>
      </c>
      <c r="E12">
        <v>18.010040747075202</v>
      </c>
      <c r="F12">
        <v>1.0726174304706872E-5</v>
      </c>
    </row>
    <row r="13" spans="1:9" x14ac:dyDescent="0.35">
      <c r="A13" t="s">
        <v>282</v>
      </c>
      <c r="B13">
        <v>27</v>
      </c>
      <c r="C13">
        <v>3.1989803126280112</v>
      </c>
      <c r="D13">
        <v>0.11848075231955597</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-6.0369096099714978</v>
      </c>
      <c r="C17">
        <v>3.3520032052502424</v>
      </c>
      <c r="D17">
        <v>-1.800985631671201</v>
      </c>
      <c r="E17">
        <v>8.2885617935121475E-2</v>
      </c>
      <c r="F17">
        <v>-12.914652077843677</v>
      </c>
      <c r="G17">
        <v>0.84083285790068096</v>
      </c>
      <c r="H17">
        <v>-12.914652077843677</v>
      </c>
      <c r="I17">
        <v>0.84083285790068096</v>
      </c>
    </row>
    <row r="18" spans="1:9" x14ac:dyDescent="0.35">
      <c r="A18" t="s">
        <v>320</v>
      </c>
      <c r="B18">
        <v>3.821662574076852E-2</v>
      </c>
      <c r="C18">
        <v>1.5683211465356645E-2</v>
      </c>
      <c r="D18">
        <v>2.4367857198882357</v>
      </c>
      <c r="E18">
        <v>2.1690289329696581E-2</v>
      </c>
      <c r="F18">
        <v>6.0373338597362533E-3</v>
      </c>
      <c r="G18">
        <v>7.039591762180078E-2</v>
      </c>
      <c r="H18">
        <v>6.0373338597362533E-3</v>
      </c>
      <c r="I18">
        <v>7.039591762180078E-2</v>
      </c>
    </row>
    <row r="19" spans="1:9" ht="15" thickBot="1" x14ac:dyDescent="0.4">
      <c r="A19" s="29" t="s">
        <v>321</v>
      </c>
      <c r="B19" s="29">
        <v>2.1472362145491038E-2</v>
      </c>
      <c r="C19" s="29">
        <v>1.2366386025213404E-2</v>
      </c>
      <c r="D19" s="29">
        <v>1.736349011078238</v>
      </c>
      <c r="E19" s="29">
        <v>9.3901473535242669E-2</v>
      </c>
      <c r="F19" s="29">
        <v>-3.9013660796171704E-3</v>
      </c>
      <c r="G19" s="29">
        <v>4.6846090370599246E-2</v>
      </c>
      <c r="H19" s="29">
        <v>-3.9013660796171704E-3</v>
      </c>
      <c r="I19" s="29">
        <v>4.6846090370599246E-2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8733D-8C49-46EE-B97C-C0DD03B6BC2A}">
  <sheetPr>
    <tabColor rgb="FFFFFF00"/>
  </sheetPr>
  <dimension ref="A1:I19"/>
  <sheetViews>
    <sheetView workbookViewId="0">
      <selection activeCell="P36" sqref="P36"/>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0.77160355691565541</v>
      </c>
    </row>
    <row r="5" spans="1:9" x14ac:dyDescent="0.35">
      <c r="A5" t="s">
        <v>276</v>
      </c>
      <c r="B5">
        <v>0.59537204904489105</v>
      </c>
    </row>
    <row r="6" spans="1:9" x14ac:dyDescent="0.35">
      <c r="A6" t="s">
        <v>277</v>
      </c>
      <c r="B6">
        <v>0.56539960823340152</v>
      </c>
    </row>
    <row r="7" spans="1:9" x14ac:dyDescent="0.35">
      <c r="A7" t="s">
        <v>278</v>
      </c>
      <c r="B7">
        <v>0.33451025748531887</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4.4454446328685195</v>
      </c>
      <c r="D12">
        <v>2.2227223164342598</v>
      </c>
      <c r="E12">
        <v>19.863982809723748</v>
      </c>
      <c r="F12">
        <v>4.9574047256711096E-6</v>
      </c>
    </row>
    <row r="13" spans="1:9" x14ac:dyDescent="0.35">
      <c r="A13" t="s">
        <v>282</v>
      </c>
      <c r="B13">
        <v>27</v>
      </c>
      <c r="C13">
        <v>3.0212220337981472</v>
      </c>
      <c r="D13">
        <v>0.11189711236289435</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1.6228281199643591</v>
      </c>
      <c r="C17">
        <v>0.92437703319238185</v>
      </c>
      <c r="D17">
        <v>1.7555911296928719</v>
      </c>
      <c r="E17">
        <v>9.049914046121367E-2</v>
      </c>
      <c r="F17">
        <v>-0.27383688547328022</v>
      </c>
      <c r="G17">
        <v>3.5194931254019983</v>
      </c>
      <c r="H17">
        <v>-0.27383688547328022</v>
      </c>
      <c r="I17">
        <v>3.5194931254019983</v>
      </c>
    </row>
    <row r="18" spans="1:9" x14ac:dyDescent="0.35">
      <c r="A18" t="s">
        <v>248</v>
      </c>
      <c r="B18">
        <v>-5.7731134408019892E-2</v>
      </c>
      <c r="C18">
        <v>4.8843657870862041E-2</v>
      </c>
      <c r="D18">
        <v>-1.1819576363558906</v>
      </c>
      <c r="E18">
        <v>0.24752801433929744</v>
      </c>
      <c r="F18">
        <v>-0.15795004216397712</v>
      </c>
      <c r="G18">
        <v>4.2487773347937345E-2</v>
      </c>
      <c r="H18">
        <v>-0.15795004216397712</v>
      </c>
      <c r="I18">
        <v>4.2487773347937345E-2</v>
      </c>
    </row>
    <row r="19" spans="1:9" ht="15" thickBot="1" x14ac:dyDescent="0.4">
      <c r="A19" s="29" t="s">
        <v>246</v>
      </c>
      <c r="B19" s="29">
        <v>6.614681070832204E-2</v>
      </c>
      <c r="C19" s="29">
        <v>1.1487970816161687E-2</v>
      </c>
      <c r="D19" s="29">
        <v>5.7579194591323599</v>
      </c>
      <c r="E19" s="29">
        <v>4.0131989009646466E-6</v>
      </c>
      <c r="F19" s="29">
        <v>4.2575441615286549E-2</v>
      </c>
      <c r="G19" s="29">
        <v>8.9718179801357531E-2</v>
      </c>
      <c r="H19" s="29">
        <v>4.2575441615286549E-2</v>
      </c>
      <c r="I19" s="29">
        <v>8.9718179801357531E-2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43FB7-8F50-4A14-B092-7640DB4282C7}">
  <sheetPr>
    <tabColor rgb="FFFFFF00"/>
  </sheetPr>
  <dimension ref="A1:I19"/>
  <sheetViews>
    <sheetView workbookViewId="0">
      <selection activeCell="I24" sqref="I24"/>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0.7580285624596188</v>
      </c>
    </row>
    <row r="5" spans="1:9" x14ac:dyDescent="0.35">
      <c r="A5" t="s">
        <v>276</v>
      </c>
      <c r="B5">
        <v>0.57460730150459627</v>
      </c>
    </row>
    <row r="6" spans="1:9" x14ac:dyDescent="0.35">
      <c r="A6" t="s">
        <v>277</v>
      </c>
      <c r="B6">
        <v>0.54309673124567748</v>
      </c>
    </row>
    <row r="7" spans="1:9" x14ac:dyDescent="0.35">
      <c r="A7" t="s">
        <v>278</v>
      </c>
      <c r="B7">
        <v>0.34298609636538258</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4.290401184567652</v>
      </c>
      <c r="D12">
        <v>2.145200592283826</v>
      </c>
      <c r="E12">
        <v>18.235382501272206</v>
      </c>
      <c r="F12">
        <v>9.7423880278007671E-6</v>
      </c>
    </row>
    <row r="13" spans="1:9" x14ac:dyDescent="0.35">
      <c r="A13" t="s">
        <v>282</v>
      </c>
      <c r="B13">
        <v>27</v>
      </c>
      <c r="C13">
        <v>3.1762654820990148</v>
      </c>
      <c r="D13">
        <v>0.11763946229996351</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0.74976020347145211</v>
      </c>
      <c r="C17">
        <v>2.0828282819183497</v>
      </c>
      <c r="D17">
        <v>0.35997216380262498</v>
      </c>
      <c r="E17">
        <v>0.72166851119280695</v>
      </c>
      <c r="F17">
        <v>-3.5238504259568213</v>
      </c>
      <c r="G17">
        <v>5.023370832899726</v>
      </c>
      <c r="H17">
        <v>-3.5238504259568213</v>
      </c>
      <c r="I17">
        <v>5.023370832899726</v>
      </c>
    </row>
    <row r="18" spans="1:9" x14ac:dyDescent="0.35">
      <c r="A18" t="s">
        <v>322</v>
      </c>
      <c r="B18">
        <v>-1.3862198703909877E-3</v>
      </c>
      <c r="C18">
        <v>1.3292011759943835E-2</v>
      </c>
      <c r="D18">
        <v>-0.10428969635495156</v>
      </c>
      <c r="E18">
        <v>0.91771030819169963</v>
      </c>
      <c r="F18">
        <v>-2.8659175224858578E-2</v>
      </c>
      <c r="G18">
        <v>2.5886735484076606E-2</v>
      </c>
      <c r="H18">
        <v>-2.8659175224858578E-2</v>
      </c>
      <c r="I18">
        <v>2.5886735484076606E-2</v>
      </c>
    </row>
    <row r="19" spans="1:9" ht="15" thickBot="1" x14ac:dyDescent="0.4">
      <c r="A19" s="29" t="s">
        <v>246</v>
      </c>
      <c r="B19" s="29">
        <v>7.0136889412283659E-2</v>
      </c>
      <c r="C19" s="29">
        <v>1.4297723087945663E-2</v>
      </c>
      <c r="D19" s="29">
        <v>4.905458651064218</v>
      </c>
      <c r="E19" s="29">
        <v>3.9266437055082033E-5</v>
      </c>
      <c r="F19" s="29">
        <v>4.0800384864251998E-2</v>
      </c>
      <c r="G19" s="29">
        <v>9.9473393960315321E-2</v>
      </c>
      <c r="H19" s="29">
        <v>4.0800384864251998E-2</v>
      </c>
      <c r="I19" s="29">
        <v>9.9473393960315321E-2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F1845-D2EF-45EA-875D-1032C65AD5ED}">
  <sheetPr>
    <tabColor rgb="FFFFFF00"/>
  </sheetPr>
  <dimension ref="A1:I19"/>
  <sheetViews>
    <sheetView workbookViewId="0">
      <selection activeCell="J36" sqref="J36"/>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0.72405663235758599</v>
      </c>
    </row>
    <row r="5" spans="1:9" x14ac:dyDescent="0.35">
      <c r="A5" t="s">
        <v>276</v>
      </c>
      <c r="B5">
        <v>0.52425800686100843</v>
      </c>
    </row>
    <row r="6" spans="1:9" x14ac:dyDescent="0.35">
      <c r="A6" t="s">
        <v>277</v>
      </c>
      <c r="B6">
        <v>0.4890178592210831</v>
      </c>
    </row>
    <row r="7" spans="1:9" x14ac:dyDescent="0.35">
      <c r="A7" t="s">
        <v>278</v>
      </c>
      <c r="B7">
        <v>0.36271644276999782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3.9144597845621965</v>
      </c>
      <c r="D12">
        <v>1.9572298922810982</v>
      </c>
      <c r="E12">
        <v>14.876725609033793</v>
      </c>
      <c r="F12">
        <v>4.4107768283757322E-5</v>
      </c>
    </row>
    <row r="13" spans="1:9" x14ac:dyDescent="0.35">
      <c r="A13" t="s">
        <v>282</v>
      </c>
      <c r="B13">
        <v>27</v>
      </c>
      <c r="C13">
        <v>3.5522068821044703</v>
      </c>
      <c r="D13">
        <v>0.13156321785572112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9" x14ac:dyDescent="0.35">
      <c r="A17" t="s">
        <v>284</v>
      </c>
      <c r="B17">
        <v>0.15593969870484259</v>
      </c>
      <c r="C17">
        <v>2.1787791206010345</v>
      </c>
      <c r="D17">
        <v>7.1572054840430693E-2</v>
      </c>
      <c r="E17">
        <v>0.94347001603461</v>
      </c>
      <c r="F17">
        <v>-4.3145457896144412</v>
      </c>
      <c r="G17">
        <v>4.6264251870241262</v>
      </c>
      <c r="H17">
        <v>-4.3145457896144412</v>
      </c>
      <c r="I17">
        <v>4.6264251870241262</v>
      </c>
    </row>
    <row r="18" spans="1:9" x14ac:dyDescent="0.35">
      <c r="A18" t="s">
        <v>322</v>
      </c>
      <c r="B18">
        <v>-2.5406701989212242E-3</v>
      </c>
      <c r="C18">
        <v>1.4603794426209484E-2</v>
      </c>
      <c r="D18">
        <v>-0.17397329247263807</v>
      </c>
      <c r="E18">
        <v>0.86318430908998922</v>
      </c>
      <c r="F18">
        <v>-3.2505181259022548E-2</v>
      </c>
      <c r="G18">
        <v>2.7423840861180101E-2</v>
      </c>
      <c r="H18">
        <v>-3.2505181259022548E-2</v>
      </c>
      <c r="I18">
        <v>2.7423840861180101E-2</v>
      </c>
    </row>
    <row r="19" spans="1:9" ht="15" thickBot="1" x14ac:dyDescent="0.4">
      <c r="A19" s="29" t="s">
        <v>323</v>
      </c>
      <c r="B19" s="29">
        <v>6.038530193038822E-2</v>
      </c>
      <c r="C19" s="29">
        <v>1.3979236990586648E-2</v>
      </c>
      <c r="D19" s="29">
        <v>4.3196421929931175</v>
      </c>
      <c r="E19" s="29">
        <v>1.8911568359859384E-4</v>
      </c>
      <c r="F19" s="29">
        <v>3.1702276875992502E-2</v>
      </c>
      <c r="G19" s="29">
        <v>8.9068326984783938E-2</v>
      </c>
      <c r="H19" s="29">
        <v>3.1702276875992502E-2</v>
      </c>
      <c r="I19" s="29">
        <v>8.9068326984783938E-2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33A5-31D7-46DA-8B1F-D1FC40F69ECC}">
  <sheetPr>
    <tabColor rgb="FF00B0F0"/>
  </sheetPr>
  <dimension ref="A1:AC29"/>
  <sheetViews>
    <sheetView workbookViewId="0">
      <selection activeCell="A38" sqref="A38"/>
    </sheetView>
  </sheetViews>
  <sheetFormatPr defaultRowHeight="14.5" x14ac:dyDescent="0.35"/>
  <sheetData>
    <row r="1" spans="1:29" x14ac:dyDescent="0.35">
      <c r="A1" s="64"/>
      <c r="B1" s="64" t="s">
        <v>271</v>
      </c>
      <c r="C1" s="64" t="s">
        <v>270</v>
      </c>
      <c r="D1" s="64" t="s">
        <v>269</v>
      </c>
      <c r="E1" s="64" t="s">
        <v>268</v>
      </c>
      <c r="F1" s="64" t="s">
        <v>267</v>
      </c>
      <c r="G1" s="64" t="s">
        <v>266</v>
      </c>
      <c r="H1" s="64" t="s">
        <v>265</v>
      </c>
      <c r="I1" s="64" t="s">
        <v>264</v>
      </c>
      <c r="J1" s="64" t="s">
        <v>246</v>
      </c>
      <c r="K1" s="64" t="s">
        <v>263</v>
      </c>
      <c r="L1" s="64" t="s">
        <v>262</v>
      </c>
      <c r="M1" s="64" t="s">
        <v>261</v>
      </c>
      <c r="N1" s="64" t="s">
        <v>260</v>
      </c>
      <c r="O1" s="64" t="s">
        <v>259</v>
      </c>
      <c r="P1" s="64" t="s">
        <v>258</v>
      </c>
      <c r="Q1" s="64" t="s">
        <v>257</v>
      </c>
      <c r="R1" s="64" t="s">
        <v>256</v>
      </c>
      <c r="S1" s="64" t="s">
        <v>255</v>
      </c>
      <c r="T1" s="64" t="s">
        <v>254</v>
      </c>
      <c r="U1" s="64" t="s">
        <v>253</v>
      </c>
      <c r="V1" s="64" t="s">
        <v>252</v>
      </c>
      <c r="W1" s="64" t="s">
        <v>251</v>
      </c>
      <c r="X1" s="64" t="s">
        <v>250</v>
      </c>
      <c r="Y1" s="64" t="s">
        <v>249</v>
      </c>
      <c r="Z1" s="64" t="s">
        <v>248</v>
      </c>
      <c r="AA1" s="64" t="s">
        <v>247</v>
      </c>
      <c r="AB1" s="64" t="s">
        <v>246</v>
      </c>
      <c r="AC1" s="64" t="s">
        <v>245</v>
      </c>
    </row>
    <row r="2" spans="1:29" x14ac:dyDescent="0.35">
      <c r="A2" t="s">
        <v>271</v>
      </c>
      <c r="B2">
        <v>1</v>
      </c>
    </row>
    <row r="3" spans="1:29" x14ac:dyDescent="0.35">
      <c r="A3" t="s">
        <v>270</v>
      </c>
      <c r="B3">
        <v>-0.27971073650023903</v>
      </c>
      <c r="C3">
        <v>1</v>
      </c>
    </row>
    <row r="4" spans="1:29" x14ac:dyDescent="0.35">
      <c r="A4" t="s">
        <v>269</v>
      </c>
      <c r="B4">
        <v>0.32639210430622478</v>
      </c>
      <c r="C4">
        <v>-0.99880016583806097</v>
      </c>
      <c r="D4">
        <v>1</v>
      </c>
    </row>
    <row r="5" spans="1:29" x14ac:dyDescent="0.35">
      <c r="A5" t="s">
        <v>268</v>
      </c>
      <c r="B5">
        <v>-0.3046283528824007</v>
      </c>
      <c r="C5">
        <v>0.99964571568899652</v>
      </c>
      <c r="D5">
        <v>-0.99972235216004846</v>
      </c>
      <c r="E5">
        <v>1</v>
      </c>
    </row>
    <row r="6" spans="1:29" x14ac:dyDescent="0.35">
      <c r="A6" t="s">
        <v>267</v>
      </c>
      <c r="B6">
        <v>0.15491699107597873</v>
      </c>
      <c r="C6">
        <v>-1.8669416758717815E-2</v>
      </c>
      <c r="D6">
        <v>2.6282615088107517E-2</v>
      </c>
      <c r="E6">
        <v>-2.2340944661823424E-2</v>
      </c>
      <c r="F6">
        <v>1</v>
      </c>
    </row>
    <row r="7" spans="1:29" x14ac:dyDescent="0.35">
      <c r="A7" t="s">
        <v>266</v>
      </c>
      <c r="B7">
        <v>-0.15023357788776126</v>
      </c>
      <c r="C7">
        <v>0.60820445155764891</v>
      </c>
      <c r="D7">
        <v>-0.60646027892273224</v>
      </c>
      <c r="E7">
        <v>0.60738151047067435</v>
      </c>
      <c r="F7">
        <v>-1.3828577567036386E-2</v>
      </c>
      <c r="G7">
        <v>1</v>
      </c>
    </row>
    <row r="8" spans="1:29" x14ac:dyDescent="0.35">
      <c r="A8" t="s">
        <v>265</v>
      </c>
      <c r="B8">
        <v>-2.2412529815530595E-2</v>
      </c>
      <c r="C8">
        <v>0.46348511128200404</v>
      </c>
      <c r="D8">
        <v>-0.45745948722940105</v>
      </c>
      <c r="E8">
        <v>0.45989500828090513</v>
      </c>
      <c r="F8">
        <v>-5.2373360918365613E-2</v>
      </c>
      <c r="G8">
        <v>0.91659810158851884</v>
      </c>
      <c r="H8">
        <v>1</v>
      </c>
    </row>
    <row r="9" spans="1:29" x14ac:dyDescent="0.35">
      <c r="A9" t="s">
        <v>264</v>
      </c>
      <c r="B9">
        <v>0.13248632139793382</v>
      </c>
      <c r="C9">
        <v>-0.21986974834983219</v>
      </c>
      <c r="D9">
        <v>0.22322679522197375</v>
      </c>
      <c r="E9">
        <v>-0.22181936110370684</v>
      </c>
      <c r="F9">
        <v>0.12801793393415392</v>
      </c>
      <c r="G9">
        <v>0.43276015224542574</v>
      </c>
      <c r="H9">
        <v>0.51165992154600815</v>
      </c>
      <c r="I9">
        <v>1</v>
      </c>
    </row>
    <row r="10" spans="1:29" x14ac:dyDescent="0.35">
      <c r="A10" t="s">
        <v>246</v>
      </c>
      <c r="B10">
        <v>-0.29526217971191498</v>
      </c>
      <c r="C10">
        <v>0.97651515683407963</v>
      </c>
      <c r="D10">
        <v>-0.97647181209316358</v>
      </c>
      <c r="E10">
        <v>0.97691303770014815</v>
      </c>
      <c r="F10">
        <v>-4.5810863097792011E-2</v>
      </c>
      <c r="G10">
        <v>0.63045913223127703</v>
      </c>
      <c r="H10">
        <v>0.47781343868057247</v>
      </c>
      <c r="I10">
        <v>-0.15955259403765423</v>
      </c>
      <c r="J10">
        <v>1</v>
      </c>
    </row>
    <row r="11" spans="1:29" x14ac:dyDescent="0.35">
      <c r="A11" t="s">
        <v>263</v>
      </c>
      <c r="B11">
        <v>-0.13045509477823877</v>
      </c>
      <c r="C11">
        <v>0.68367803144303951</v>
      </c>
      <c r="D11">
        <v>-0.67975763537024514</v>
      </c>
      <c r="E11">
        <v>0.68127895240956959</v>
      </c>
      <c r="F11">
        <v>-0.13659932443918599</v>
      </c>
      <c r="G11">
        <v>0.77677139695539521</v>
      </c>
      <c r="H11">
        <v>0.81676860158589337</v>
      </c>
      <c r="I11">
        <v>-7.6554623687264095E-2</v>
      </c>
      <c r="J11">
        <v>0.66085283582282983</v>
      </c>
      <c r="K11">
        <v>1</v>
      </c>
    </row>
    <row r="12" spans="1:29" x14ac:dyDescent="0.35">
      <c r="A12" t="s">
        <v>262</v>
      </c>
      <c r="B12">
        <v>-0.23558986506295709</v>
      </c>
      <c r="C12">
        <v>0.44658073252964903</v>
      </c>
      <c r="D12">
        <v>-0.45169026268972667</v>
      </c>
      <c r="E12">
        <v>0.45048570231580609</v>
      </c>
      <c r="F12">
        <v>5.1214197835715909E-2</v>
      </c>
      <c r="G12">
        <v>0.56269606924458837</v>
      </c>
      <c r="H12">
        <v>0.38206498668338468</v>
      </c>
      <c r="I12">
        <v>0.39614613895962708</v>
      </c>
      <c r="J12">
        <v>0.47154220400915353</v>
      </c>
      <c r="K12">
        <v>0.17597932535222982</v>
      </c>
      <c r="L12">
        <v>1</v>
      </c>
    </row>
    <row r="13" spans="1:29" x14ac:dyDescent="0.35">
      <c r="A13" t="s">
        <v>261</v>
      </c>
      <c r="B13">
        <v>-0.16070420330129648</v>
      </c>
      <c r="C13">
        <v>0.12844338142892731</v>
      </c>
      <c r="D13">
        <v>-0.13465387184957028</v>
      </c>
      <c r="E13">
        <v>0.13262272518150323</v>
      </c>
      <c r="F13">
        <v>8.5736832491752138E-2</v>
      </c>
      <c r="G13">
        <v>0.34092519446179365</v>
      </c>
      <c r="H13">
        <v>0.18817380703458325</v>
      </c>
      <c r="I13">
        <v>0.52641822200596555</v>
      </c>
      <c r="J13">
        <v>0.15659435948382144</v>
      </c>
      <c r="K13">
        <v>-0.13600983476557732</v>
      </c>
      <c r="L13">
        <v>0.92211441286675722</v>
      </c>
      <c r="M13">
        <v>1</v>
      </c>
    </row>
    <row r="14" spans="1:29" x14ac:dyDescent="0.35">
      <c r="A14" t="s">
        <v>260</v>
      </c>
      <c r="B14">
        <v>-0.24680110745879613</v>
      </c>
      <c r="C14">
        <v>0.85608763913191288</v>
      </c>
      <c r="D14">
        <v>-0.85543508701753557</v>
      </c>
      <c r="E14">
        <v>0.85693507763237953</v>
      </c>
      <c r="F14">
        <v>-7.1542066046709846E-2</v>
      </c>
      <c r="G14">
        <v>0.68576886624024402</v>
      </c>
      <c r="H14">
        <v>0.56892398859046278</v>
      </c>
      <c r="I14">
        <v>-0.16797761559942748</v>
      </c>
      <c r="J14">
        <v>0.85194701415828367</v>
      </c>
      <c r="K14">
        <v>0.77245299017404911</v>
      </c>
      <c r="L14">
        <v>0.47128990260919024</v>
      </c>
      <c r="M14">
        <v>9.6089819016864003E-2</v>
      </c>
      <c r="N14">
        <v>1</v>
      </c>
    </row>
    <row r="15" spans="1:29" x14ac:dyDescent="0.35">
      <c r="A15" t="s">
        <v>259</v>
      </c>
      <c r="B15">
        <v>-0.18565007456960891</v>
      </c>
      <c r="C15">
        <v>0.34457329352187671</v>
      </c>
      <c r="D15">
        <v>-0.34871328245581346</v>
      </c>
      <c r="E15">
        <v>0.34703943357009626</v>
      </c>
      <c r="F15">
        <v>2.9790541409173425E-2</v>
      </c>
      <c r="G15">
        <v>0.32585337261979708</v>
      </c>
      <c r="H15">
        <v>2.4382616738561597E-2</v>
      </c>
      <c r="I15">
        <v>-0.2789943836257634</v>
      </c>
      <c r="J15">
        <v>0.35593223344872077</v>
      </c>
      <c r="K15">
        <v>0.22701795181683024</v>
      </c>
      <c r="L15">
        <v>-7.7779970254410011E-2</v>
      </c>
      <c r="M15">
        <v>-0.2177398307203528</v>
      </c>
      <c r="N15">
        <v>0.30409576521359782</v>
      </c>
      <c r="O15">
        <v>1</v>
      </c>
    </row>
    <row r="16" spans="1:29" x14ac:dyDescent="0.35">
      <c r="A16" t="s">
        <v>258</v>
      </c>
      <c r="B16">
        <v>-0.21569046264703565</v>
      </c>
      <c r="C16">
        <v>0.34840842213619916</v>
      </c>
      <c r="D16">
        <v>-0.35402138395279603</v>
      </c>
      <c r="E16">
        <v>0.35134256849939194</v>
      </c>
      <c r="F16">
        <v>3.4193396541208856E-2</v>
      </c>
      <c r="G16">
        <v>0.28366956568544832</v>
      </c>
      <c r="H16">
        <v>9.9934049431353589E-3</v>
      </c>
      <c r="I16">
        <v>-0.31332987653266392</v>
      </c>
      <c r="J16">
        <v>0.3481551834736295</v>
      </c>
      <c r="K16">
        <v>0.23512077993723218</v>
      </c>
      <c r="L16">
        <v>-0.10583372122178505</v>
      </c>
      <c r="M16">
        <v>-0.21388994033393413</v>
      </c>
      <c r="N16">
        <v>0.23306557274162903</v>
      </c>
      <c r="O16">
        <v>0.92438894351106393</v>
      </c>
      <c r="P16">
        <v>1</v>
      </c>
    </row>
    <row r="17" spans="1:29" x14ac:dyDescent="0.35">
      <c r="A17" t="s">
        <v>257</v>
      </c>
      <c r="B17">
        <v>4.1337285421106469E-3</v>
      </c>
      <c r="C17">
        <v>0.13835798624552423</v>
      </c>
      <c r="D17">
        <v>-0.13600711779155666</v>
      </c>
      <c r="E17">
        <v>0.13802222534334951</v>
      </c>
      <c r="F17">
        <v>-1.5399066493534707E-2</v>
      </c>
      <c r="G17">
        <v>0.20646419396799376</v>
      </c>
      <c r="H17">
        <v>3.7367014764266286E-2</v>
      </c>
      <c r="I17">
        <v>-4.4688388607152123E-2</v>
      </c>
      <c r="J17">
        <v>0.16930769575116747</v>
      </c>
      <c r="K17">
        <v>7.2109638151655858E-2</v>
      </c>
      <c r="L17">
        <v>2.8279018652749299E-2</v>
      </c>
      <c r="M17">
        <v>-0.10246502381705447</v>
      </c>
      <c r="N17">
        <v>0.28608912279973181</v>
      </c>
      <c r="O17">
        <v>0.52838885548989911</v>
      </c>
      <c r="P17">
        <v>0.16664962410646567</v>
      </c>
      <c r="Q17">
        <v>1</v>
      </c>
    </row>
    <row r="18" spans="1:29" x14ac:dyDescent="0.35">
      <c r="A18" t="s">
        <v>256</v>
      </c>
      <c r="B18">
        <v>0.11161941369687318</v>
      </c>
      <c r="C18">
        <v>-0.19875115527744647</v>
      </c>
      <c r="D18">
        <v>0.20137047511532175</v>
      </c>
      <c r="E18">
        <v>-0.20049977121336365</v>
      </c>
      <c r="F18">
        <v>0.15507948534547039</v>
      </c>
      <c r="G18">
        <v>-0.13949999076126357</v>
      </c>
      <c r="H18">
        <v>-0.19430527535221317</v>
      </c>
      <c r="I18">
        <v>0.42407814465377369</v>
      </c>
      <c r="J18">
        <v>-0.13346258088945784</v>
      </c>
      <c r="K18">
        <v>-0.50465621689794915</v>
      </c>
      <c r="L18">
        <v>8.5278244353487798E-2</v>
      </c>
      <c r="M18">
        <v>0.24067446211333993</v>
      </c>
      <c r="N18">
        <v>-0.33098381119936354</v>
      </c>
      <c r="O18">
        <v>-3.6129073874455297E-2</v>
      </c>
      <c r="P18">
        <v>-6.9628070977163434E-2</v>
      </c>
      <c r="Q18">
        <v>5.6168605915790093E-2</v>
      </c>
      <c r="R18">
        <v>1</v>
      </c>
    </row>
    <row r="19" spans="1:29" x14ac:dyDescent="0.35">
      <c r="A19" t="s">
        <v>255</v>
      </c>
      <c r="B19">
        <v>-0.27341465626625416</v>
      </c>
      <c r="C19">
        <v>0.56711279140778792</v>
      </c>
      <c r="D19">
        <v>-0.57228737951820352</v>
      </c>
      <c r="E19">
        <v>0.57030174481575446</v>
      </c>
      <c r="F19">
        <v>0.22975053556573072</v>
      </c>
      <c r="G19">
        <v>0.50782165071525265</v>
      </c>
      <c r="H19">
        <v>0.36092395934557536</v>
      </c>
      <c r="I19">
        <v>-8.3681997108032036E-2</v>
      </c>
      <c r="J19">
        <v>0.60518974798589298</v>
      </c>
      <c r="K19">
        <v>0.48597140634369507</v>
      </c>
      <c r="L19">
        <v>0.4311947668843063</v>
      </c>
      <c r="M19">
        <v>0.25319300697069314</v>
      </c>
      <c r="N19">
        <v>0.54314664366082699</v>
      </c>
      <c r="O19">
        <v>0.29186173533120829</v>
      </c>
      <c r="P19">
        <v>0.30908768977143602</v>
      </c>
      <c r="Q19">
        <v>5.7816985388427361E-2</v>
      </c>
      <c r="R19">
        <v>-0.20986784507209036</v>
      </c>
      <c r="S19">
        <v>1</v>
      </c>
    </row>
    <row r="20" spans="1:29" x14ac:dyDescent="0.35">
      <c r="A20" t="s">
        <v>254</v>
      </c>
      <c r="B20">
        <v>-0.15469775017929893</v>
      </c>
      <c r="C20">
        <v>0.34109814937581434</v>
      </c>
      <c r="D20">
        <v>-0.34371308166710435</v>
      </c>
      <c r="E20">
        <v>0.34261877655965123</v>
      </c>
      <c r="F20">
        <v>0.30411733200284263</v>
      </c>
      <c r="G20">
        <v>0.33536919283912958</v>
      </c>
      <c r="H20">
        <v>0.17105403325611876</v>
      </c>
      <c r="I20">
        <v>0.24780819960428099</v>
      </c>
      <c r="J20">
        <v>0.42181727626721288</v>
      </c>
      <c r="K20">
        <v>4.518782058820698E-2</v>
      </c>
      <c r="L20">
        <v>0.42982745768405511</v>
      </c>
      <c r="M20">
        <v>0.3918794872856316</v>
      </c>
      <c r="N20">
        <v>0.22038875086193718</v>
      </c>
      <c r="O20">
        <v>0.22323979644139583</v>
      </c>
      <c r="P20">
        <v>0.21045447765954503</v>
      </c>
      <c r="Q20">
        <v>9.7177558429499114E-2</v>
      </c>
      <c r="R20">
        <v>0.5559428918640138</v>
      </c>
      <c r="S20">
        <v>0.69547570877353071</v>
      </c>
      <c r="T20">
        <v>1</v>
      </c>
    </row>
    <row r="21" spans="1:29" x14ac:dyDescent="0.35">
      <c r="A21" t="s">
        <v>253</v>
      </c>
      <c r="B21">
        <v>6.2008577220559247E-2</v>
      </c>
      <c r="C21">
        <v>0.11217100421266105</v>
      </c>
      <c r="D21">
        <v>-0.10727311198081853</v>
      </c>
      <c r="E21">
        <v>0.10798857212506341</v>
      </c>
      <c r="F21">
        <v>-1.3664381078896512E-2</v>
      </c>
      <c r="G21">
        <v>0.51679150011903785</v>
      </c>
      <c r="H21">
        <v>0.69686095904812051</v>
      </c>
      <c r="I21">
        <v>0.37732419535531037</v>
      </c>
      <c r="J21">
        <v>0.11512882903181755</v>
      </c>
      <c r="K21">
        <v>0.55404679855377703</v>
      </c>
      <c r="L21">
        <v>0.17964002611847391</v>
      </c>
      <c r="M21">
        <v>0.12020143628066748</v>
      </c>
      <c r="N21">
        <v>0.21930061818101304</v>
      </c>
      <c r="O21">
        <v>-0.28351435491067051</v>
      </c>
      <c r="P21">
        <v>-0.25312897968984049</v>
      </c>
      <c r="Q21">
        <v>-0.20282006800599806</v>
      </c>
      <c r="R21">
        <v>-0.22843600608840861</v>
      </c>
      <c r="S21">
        <v>0.31672225106203389</v>
      </c>
      <c r="T21">
        <v>0.10384279076459646</v>
      </c>
      <c r="U21">
        <v>1</v>
      </c>
    </row>
    <row r="22" spans="1:29" x14ac:dyDescent="0.35">
      <c r="A22" t="s">
        <v>252</v>
      </c>
      <c r="B22">
        <v>0.10501337504453018</v>
      </c>
      <c r="C22">
        <v>-0.58312053017006715</v>
      </c>
      <c r="D22">
        <v>0.57945775709991298</v>
      </c>
      <c r="E22">
        <v>-0.58147245290594796</v>
      </c>
      <c r="F22">
        <v>0.15816066789758804</v>
      </c>
      <c r="G22">
        <v>-0.4272303242817958</v>
      </c>
      <c r="H22">
        <v>-0.39163920658209228</v>
      </c>
      <c r="I22">
        <v>-0.14937151283516714</v>
      </c>
      <c r="J22">
        <v>-0.58837407022291321</v>
      </c>
      <c r="K22">
        <v>-0.34778406997413758</v>
      </c>
      <c r="L22">
        <v>-0.34363323767503529</v>
      </c>
      <c r="M22">
        <v>-0.16580978185250031</v>
      </c>
      <c r="N22">
        <v>-0.48711866227118716</v>
      </c>
      <c r="O22">
        <v>-6.8780928912346245E-2</v>
      </c>
      <c r="P22">
        <v>-4.8173750846214315E-2</v>
      </c>
      <c r="Q22">
        <v>-8.5042429907417214E-2</v>
      </c>
      <c r="R22">
        <v>0.18661081355405029</v>
      </c>
      <c r="S22">
        <v>-0.17938572060058522</v>
      </c>
      <c r="T22">
        <v>-2.7403241190848169E-2</v>
      </c>
      <c r="U22">
        <v>3.4247156164913237E-2</v>
      </c>
      <c r="V22">
        <v>1</v>
      </c>
    </row>
    <row r="23" spans="1:29" x14ac:dyDescent="0.35">
      <c r="A23" t="s">
        <v>251</v>
      </c>
      <c r="B23">
        <v>-0.10471824728920047</v>
      </c>
      <c r="C23">
        <v>0.18259600549717175</v>
      </c>
      <c r="D23">
        <v>-0.18511318816464384</v>
      </c>
      <c r="E23">
        <v>0.1834515687723175</v>
      </c>
      <c r="F23">
        <v>-9.5961091187411109E-3</v>
      </c>
      <c r="G23">
        <v>-8.8122340374144625E-2</v>
      </c>
      <c r="H23">
        <v>-9.2097774630758078E-2</v>
      </c>
      <c r="I23">
        <v>-0.15601261831971192</v>
      </c>
      <c r="J23">
        <v>0.18481683790860773</v>
      </c>
      <c r="K23">
        <v>-6.8330736411710156E-4</v>
      </c>
      <c r="L23">
        <v>-0.28820824648231402</v>
      </c>
      <c r="M23">
        <v>-0.34186613777545599</v>
      </c>
      <c r="N23">
        <v>5.9876973491588707E-2</v>
      </c>
      <c r="O23">
        <v>0.19776058083928144</v>
      </c>
      <c r="P23">
        <v>0.24102664764622123</v>
      </c>
      <c r="Q23">
        <v>-4.3293589006599895E-3</v>
      </c>
      <c r="R23">
        <v>-8.5406046737637478E-2</v>
      </c>
      <c r="S23">
        <v>-0.35754911725364441</v>
      </c>
      <c r="T23">
        <v>-0.3640891120344355</v>
      </c>
      <c r="U23">
        <v>-0.17152719356758894</v>
      </c>
      <c r="V23">
        <v>-0.2049431246765322</v>
      </c>
      <c r="W23">
        <v>1</v>
      </c>
    </row>
    <row r="24" spans="1:29" x14ac:dyDescent="0.35">
      <c r="A24" t="s">
        <v>250</v>
      </c>
      <c r="B24">
        <v>0.26521011207009221</v>
      </c>
      <c r="C24">
        <v>0.20534753744747142</v>
      </c>
      <c r="D24">
        <v>-0.18864361401973698</v>
      </c>
      <c r="E24">
        <v>0.19667034384781001</v>
      </c>
      <c r="F24">
        <v>3.3383740907637807E-2</v>
      </c>
      <c r="G24">
        <v>0.30037267022978803</v>
      </c>
      <c r="H24">
        <v>0.2576297456190636</v>
      </c>
      <c r="I24">
        <v>-3.299062608079343E-2</v>
      </c>
      <c r="J24">
        <v>0.22804511672412062</v>
      </c>
      <c r="K24">
        <v>0.31523818701688039</v>
      </c>
      <c r="L24">
        <v>0.11141708775014159</v>
      </c>
      <c r="M24">
        <v>1.3736487032478107E-2</v>
      </c>
      <c r="N24">
        <v>0.26866446798843568</v>
      </c>
      <c r="O24">
        <v>0.19578384488661624</v>
      </c>
      <c r="P24">
        <v>9.2167195513071731E-2</v>
      </c>
      <c r="Q24">
        <v>0.29540085385485237</v>
      </c>
      <c r="R24">
        <v>-0.26822073882397346</v>
      </c>
      <c r="S24">
        <v>0.20736621448974965</v>
      </c>
      <c r="T24">
        <v>-1.2661921170985642E-2</v>
      </c>
      <c r="U24">
        <v>0.24268691003294326</v>
      </c>
      <c r="V24">
        <v>9.02011854633194E-2</v>
      </c>
      <c r="W24">
        <v>0.10817258250811516</v>
      </c>
      <c r="X24">
        <v>1</v>
      </c>
    </row>
    <row r="25" spans="1:29" x14ac:dyDescent="0.35">
      <c r="A25" t="s">
        <v>249</v>
      </c>
      <c r="B25">
        <v>0.21944223977498206</v>
      </c>
      <c r="C25">
        <v>-0.61260834587133561</v>
      </c>
      <c r="D25">
        <v>0.6143262332771674</v>
      </c>
      <c r="E25">
        <v>-0.61441914630888761</v>
      </c>
      <c r="F25">
        <v>-5.1527686396378863E-3</v>
      </c>
      <c r="G25">
        <v>-0.39520881104267008</v>
      </c>
      <c r="H25">
        <v>-0.34770878193544086</v>
      </c>
      <c r="I25">
        <v>0.25018779624098181</v>
      </c>
      <c r="J25">
        <v>-0.58897152936486452</v>
      </c>
      <c r="K25">
        <v>-0.57005129114873954</v>
      </c>
      <c r="L25">
        <v>-0.45059332416717451</v>
      </c>
      <c r="M25">
        <v>-0.22811031056982545</v>
      </c>
      <c r="N25">
        <v>-0.61900584008371107</v>
      </c>
      <c r="O25">
        <v>1.9802609820378479E-2</v>
      </c>
      <c r="P25">
        <v>-4.7897327095203251E-2</v>
      </c>
      <c r="Q25">
        <v>0.14568117954514642</v>
      </c>
      <c r="R25">
        <v>0.4127573773966427</v>
      </c>
      <c r="S25">
        <v>-0.52737125069206692</v>
      </c>
      <c r="T25">
        <v>-0.14424693121349913</v>
      </c>
      <c r="U25">
        <v>-0.21353365183117989</v>
      </c>
      <c r="V25">
        <v>0.41572853214454686</v>
      </c>
      <c r="W25">
        <v>0.23976250802920665</v>
      </c>
      <c r="X25">
        <v>-5.5544509808810393E-2</v>
      </c>
      <c r="Y25">
        <v>1</v>
      </c>
    </row>
    <row r="26" spans="1:29" x14ac:dyDescent="0.35">
      <c r="A26" t="s">
        <v>248</v>
      </c>
      <c r="B26">
        <v>6.4653206972780597E-2</v>
      </c>
      <c r="C26">
        <v>-0.26558227756187941</v>
      </c>
      <c r="D26">
        <v>0.26477226511130669</v>
      </c>
      <c r="E26">
        <v>-0.26470839104953614</v>
      </c>
      <c r="F26">
        <v>-5.0301770658252462E-2</v>
      </c>
      <c r="G26">
        <v>-3.8253501630813209E-2</v>
      </c>
      <c r="H26">
        <v>1.8369090031906819E-2</v>
      </c>
      <c r="I26">
        <v>0.29238128777848255</v>
      </c>
      <c r="J26">
        <v>-0.22827491897199045</v>
      </c>
      <c r="K26">
        <v>-0.18030469510418864</v>
      </c>
      <c r="L26">
        <v>-0.19725158197072512</v>
      </c>
      <c r="M26">
        <v>-8.1768127157898537E-2</v>
      </c>
      <c r="N26">
        <v>-0.31522775590787383</v>
      </c>
      <c r="O26">
        <v>-3.2469777201025864E-3</v>
      </c>
      <c r="P26">
        <v>5.1371377785399679E-2</v>
      </c>
      <c r="Q26">
        <v>-0.11151962666353765</v>
      </c>
      <c r="R26">
        <v>0.23914428477877017</v>
      </c>
      <c r="S26">
        <v>-0.40404059197911968</v>
      </c>
      <c r="T26">
        <v>-0.16449426011219631</v>
      </c>
      <c r="U26">
        <v>-0.14700765861393994</v>
      </c>
      <c r="V26">
        <v>0.15455894222058195</v>
      </c>
      <c r="W26">
        <v>0.24024126238244917</v>
      </c>
      <c r="X26">
        <v>-6.9968166935101356E-2</v>
      </c>
      <c r="Y26">
        <v>0.51323898045870642</v>
      </c>
      <c r="Z26">
        <v>1</v>
      </c>
    </row>
    <row r="27" spans="1:29" x14ac:dyDescent="0.35">
      <c r="A27" t="s">
        <v>247</v>
      </c>
      <c r="B27">
        <v>-0.26975156630227404</v>
      </c>
      <c r="C27">
        <v>0.40829911604571406</v>
      </c>
      <c r="D27">
        <v>-0.41574326774737441</v>
      </c>
      <c r="E27">
        <v>0.41314388041170097</v>
      </c>
      <c r="F27">
        <v>3.99146861680836E-2</v>
      </c>
      <c r="G27">
        <v>0.19936941654656531</v>
      </c>
      <c r="H27">
        <v>-3.1974368408565129E-2</v>
      </c>
      <c r="I27">
        <v>-0.37686602421599874</v>
      </c>
      <c r="J27">
        <v>0.35151385019793857</v>
      </c>
      <c r="K27">
        <v>0.22742406477534363</v>
      </c>
      <c r="L27">
        <v>-1.1014635685306806E-2</v>
      </c>
      <c r="M27">
        <v>-9.4050062602569512E-2</v>
      </c>
      <c r="N27">
        <v>0.21597928990872101</v>
      </c>
      <c r="O27">
        <v>0.68545423728304256</v>
      </c>
      <c r="P27">
        <v>0.80392498810254631</v>
      </c>
      <c r="Q27">
        <v>3.0059767372090924E-3</v>
      </c>
      <c r="R27">
        <v>-0.14050912424899051</v>
      </c>
      <c r="S27">
        <v>0.25396051918105789</v>
      </c>
      <c r="T27">
        <v>0.11061702090463246</v>
      </c>
      <c r="U27">
        <v>-0.2361253882425943</v>
      </c>
      <c r="V27">
        <v>1.6526522449559971E-2</v>
      </c>
      <c r="W27">
        <v>0.21019789331975761</v>
      </c>
      <c r="X27">
        <v>6.2805734083900361E-2</v>
      </c>
      <c r="Y27">
        <v>-0.19710580346172807</v>
      </c>
      <c r="Z27">
        <v>-2.8008761605678265E-2</v>
      </c>
      <c r="AA27">
        <v>1</v>
      </c>
    </row>
    <row r="28" spans="1:29" x14ac:dyDescent="0.35">
      <c r="A28" t="s">
        <v>246</v>
      </c>
      <c r="B28">
        <v>-0.29526217971191498</v>
      </c>
      <c r="C28">
        <v>0.97651515683407963</v>
      </c>
      <c r="D28">
        <v>-0.97647181209316358</v>
      </c>
      <c r="E28">
        <v>0.97691303770014815</v>
      </c>
      <c r="F28">
        <v>-4.5810863097792011E-2</v>
      </c>
      <c r="G28">
        <v>0.63045913223127703</v>
      </c>
      <c r="H28">
        <v>0.47781343868057247</v>
      </c>
      <c r="I28">
        <v>-0.15955259403765423</v>
      </c>
      <c r="J28">
        <v>1</v>
      </c>
      <c r="K28">
        <v>0.66085283582282983</v>
      </c>
      <c r="L28">
        <v>0.47154220400915353</v>
      </c>
      <c r="M28">
        <v>0.15659435948382144</v>
      </c>
      <c r="N28">
        <v>0.85194701415828367</v>
      </c>
      <c r="O28">
        <v>0.35593223344872077</v>
      </c>
      <c r="P28">
        <v>0.3481551834736295</v>
      </c>
      <c r="Q28">
        <v>0.16930769575116747</v>
      </c>
      <c r="R28">
        <v>-0.13346258088945784</v>
      </c>
      <c r="S28">
        <v>0.60518974798589298</v>
      </c>
      <c r="T28">
        <v>0.42181727626721288</v>
      </c>
      <c r="U28">
        <v>0.11512882903181755</v>
      </c>
      <c r="V28">
        <v>-0.58837407022291321</v>
      </c>
      <c r="W28">
        <v>0.18481683790860773</v>
      </c>
      <c r="X28">
        <v>0.22804511672412062</v>
      </c>
      <c r="Y28">
        <v>-0.58897152936486452</v>
      </c>
      <c r="Z28">
        <v>-0.22827491897199045</v>
      </c>
      <c r="AA28">
        <v>0.35151385019793857</v>
      </c>
      <c r="AB28">
        <v>1</v>
      </c>
    </row>
    <row r="29" spans="1:29" ht="15" thickBot="1" x14ac:dyDescent="0.4">
      <c r="A29" s="29" t="s">
        <v>245</v>
      </c>
      <c r="B29" s="29">
        <v>-0.29037875858091278</v>
      </c>
      <c r="C29" s="29">
        <v>0.80431707541283304</v>
      </c>
      <c r="D29" s="29">
        <v>-0.80668806779134827</v>
      </c>
      <c r="E29" s="29">
        <v>0.80565734180265791</v>
      </c>
      <c r="F29" s="29">
        <v>-0.22077279452536297</v>
      </c>
      <c r="G29" s="29">
        <v>0.45071162326238834</v>
      </c>
      <c r="H29" s="29">
        <v>0.39399715559607873</v>
      </c>
      <c r="I29" s="29">
        <v>-0.43451483466673224</v>
      </c>
      <c r="J29" s="29">
        <v>0.75791552408871121</v>
      </c>
      <c r="K29" s="29">
        <v>0.74410387824743485</v>
      </c>
      <c r="L29" s="29">
        <v>0.24586877948277744</v>
      </c>
      <c r="M29" s="29">
        <v>-4.8244119627578914E-2</v>
      </c>
      <c r="N29" s="29">
        <v>0.74599679834845045</v>
      </c>
      <c r="O29" s="29">
        <v>0.21002216631020193</v>
      </c>
      <c r="P29" s="29">
        <v>0.27744567313073071</v>
      </c>
      <c r="Q29" s="29">
        <v>-4.6715245282843751E-2</v>
      </c>
      <c r="R29" s="29">
        <v>-0.48550599243846843</v>
      </c>
      <c r="S29" s="29">
        <v>0.42656071215317304</v>
      </c>
      <c r="T29" s="29">
        <v>2.8679797116620237E-3</v>
      </c>
      <c r="U29" s="29">
        <v>0.17972317649114486</v>
      </c>
      <c r="V29" s="29">
        <v>-0.33261226241489111</v>
      </c>
      <c r="W29" s="29">
        <v>0.11267524223684545</v>
      </c>
      <c r="X29" s="29">
        <v>9.0922637104808829E-2</v>
      </c>
      <c r="Y29" s="29">
        <v>-0.65846365620696479</v>
      </c>
      <c r="Z29" s="29">
        <v>-0.31388587931936413</v>
      </c>
      <c r="AA29" s="29">
        <v>0.38149963062293518</v>
      </c>
      <c r="AB29" s="29">
        <v>0.75791552408871121</v>
      </c>
      <c r="AC29" s="29">
        <v>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B050"/>
  </sheetPr>
  <dimension ref="A1:AU31"/>
  <sheetViews>
    <sheetView tabSelected="1" topLeftCell="T14" zoomScale="65" zoomScaleNormal="115" workbookViewId="0">
      <selection activeCell="AK21" sqref="AK21"/>
    </sheetView>
  </sheetViews>
  <sheetFormatPr defaultRowHeight="14.5" x14ac:dyDescent="0.35"/>
  <cols>
    <col min="2" max="2" width="21" customWidth="1"/>
    <col min="6" max="6" width="8.90625" style="1"/>
    <col min="34" max="34" width="30.08984375" customWidth="1"/>
  </cols>
  <sheetData>
    <row r="1" spans="1:47" ht="15" thickBot="1" x14ac:dyDescent="0.4">
      <c r="A1" s="59"/>
      <c r="B1" s="61" t="s">
        <v>272</v>
      </c>
      <c r="C1" s="59" t="s">
        <v>271</v>
      </c>
      <c r="D1" s="59" t="s">
        <v>270</v>
      </c>
      <c r="E1" s="59" t="s">
        <v>269</v>
      </c>
      <c r="F1" s="60" t="s">
        <v>268</v>
      </c>
      <c r="G1" s="59" t="s">
        <v>267</v>
      </c>
      <c r="H1" s="59" t="s">
        <v>266</v>
      </c>
      <c r="I1" s="59" t="s">
        <v>265</v>
      </c>
      <c r="J1" s="59" t="s">
        <v>264</v>
      </c>
      <c r="K1" s="59" t="s">
        <v>263</v>
      </c>
      <c r="L1" s="59" t="s">
        <v>262</v>
      </c>
      <c r="M1" s="59" t="s">
        <v>261</v>
      </c>
      <c r="N1" s="59" t="s">
        <v>260</v>
      </c>
      <c r="O1" s="59" t="s">
        <v>259</v>
      </c>
      <c r="P1" s="59" t="s">
        <v>258</v>
      </c>
      <c r="Q1" s="59" t="s">
        <v>257</v>
      </c>
      <c r="R1" s="59" t="s">
        <v>256</v>
      </c>
      <c r="S1" s="59" t="s">
        <v>255</v>
      </c>
      <c r="T1" s="59" t="s">
        <v>254</v>
      </c>
      <c r="U1" s="59" t="s">
        <v>253</v>
      </c>
      <c r="V1" s="59" t="s">
        <v>252</v>
      </c>
      <c r="W1" s="59" t="s">
        <v>251</v>
      </c>
      <c r="X1" s="59" t="s">
        <v>250</v>
      </c>
      <c r="Y1" s="59" t="s">
        <v>249</v>
      </c>
      <c r="Z1" s="59" t="s">
        <v>248</v>
      </c>
      <c r="AA1" s="59" t="s">
        <v>247</v>
      </c>
      <c r="AB1" s="59" t="s">
        <v>246</v>
      </c>
      <c r="AC1" s="62" t="s">
        <v>245</v>
      </c>
      <c r="AD1" s="59" t="s">
        <v>265</v>
      </c>
      <c r="AE1" t="s">
        <v>297</v>
      </c>
      <c r="AF1" t="s">
        <v>299</v>
      </c>
      <c r="AG1" s="59"/>
      <c r="AH1" s="21" t="s">
        <v>284</v>
      </c>
      <c r="AI1">
        <v>-4.3396460726482502</v>
      </c>
      <c r="AK1" t="s">
        <v>300</v>
      </c>
      <c r="AL1" t="s">
        <v>301</v>
      </c>
      <c r="AM1" t="s">
        <v>302</v>
      </c>
      <c r="AN1">
        <v>0.6</v>
      </c>
      <c r="AO1">
        <f>AN1/AN2</f>
        <v>1.4999999999999998</v>
      </c>
      <c r="AQ1" s="21" t="s">
        <v>284</v>
      </c>
      <c r="AR1">
        <v>-4.3396460726482502</v>
      </c>
    </row>
    <row r="2" spans="1:47" ht="15" thickBot="1" x14ac:dyDescent="0.4">
      <c r="A2" s="57">
        <v>1</v>
      </c>
      <c r="B2" t="s">
        <v>244</v>
      </c>
      <c r="C2" s="57">
        <v>75</v>
      </c>
      <c r="D2" s="57">
        <v>59</v>
      </c>
      <c r="E2" s="57">
        <v>16</v>
      </c>
      <c r="F2" s="58">
        <v>0.78700000000000003</v>
      </c>
      <c r="G2" s="57">
        <v>48.4</v>
      </c>
      <c r="H2" s="57">
        <v>120.9</v>
      </c>
      <c r="I2">
        <v>43.8</v>
      </c>
      <c r="J2">
        <v>90.1</v>
      </c>
      <c r="K2" s="57">
        <v>48.6</v>
      </c>
      <c r="L2">
        <v>16.600000000000001</v>
      </c>
      <c r="M2">
        <v>42.6</v>
      </c>
      <c r="N2" s="57">
        <v>38.9</v>
      </c>
      <c r="O2" s="57">
        <v>16.8</v>
      </c>
      <c r="P2" s="57">
        <v>20.7</v>
      </c>
      <c r="Q2" s="57">
        <v>80.900000000000006</v>
      </c>
      <c r="R2">
        <v>10.7</v>
      </c>
      <c r="S2">
        <v>35.799999999999997</v>
      </c>
      <c r="T2">
        <v>46.5</v>
      </c>
      <c r="U2">
        <v>26.7</v>
      </c>
      <c r="V2">
        <v>12</v>
      </c>
      <c r="W2">
        <v>6.6</v>
      </c>
      <c r="X2">
        <v>6.5</v>
      </c>
      <c r="Y2">
        <v>3.7</v>
      </c>
      <c r="Z2">
        <v>16.399999999999999</v>
      </c>
      <c r="AA2" s="57">
        <v>17.7</v>
      </c>
      <c r="AB2" s="57">
        <v>11.4</v>
      </c>
      <c r="AC2" s="63">
        <v>1</v>
      </c>
      <c r="AD2">
        <v>43.8</v>
      </c>
      <c r="AE2">
        <f>FGM!B$17+FGM!B$18*NBAQ1!AD2</f>
        <v>0.716892614439959</v>
      </c>
      <c r="AF2" s="17">
        <f>1/(1+EXP(-AE2))</f>
        <v>0.67192238292522932</v>
      </c>
      <c r="AH2" s="34" t="s">
        <v>265</v>
      </c>
      <c r="AI2" s="29">
        <v>0.11544608874630616</v>
      </c>
      <c r="AM2" t="s">
        <v>303</v>
      </c>
      <c r="AN2">
        <f>1-AN1</f>
        <v>0.4</v>
      </c>
      <c r="AQ2" s="34" t="s">
        <v>265</v>
      </c>
      <c r="AR2" s="29">
        <v>0.11544608874630616</v>
      </c>
    </row>
    <row r="3" spans="1:47" ht="15" thickBot="1" x14ac:dyDescent="0.4">
      <c r="A3" s="57">
        <v>2</v>
      </c>
      <c r="B3" t="s">
        <v>243</v>
      </c>
      <c r="C3" s="57">
        <v>74</v>
      </c>
      <c r="D3" s="57">
        <v>52</v>
      </c>
      <c r="E3" s="57">
        <v>22</v>
      </c>
      <c r="F3" s="58">
        <v>0.70299999999999996</v>
      </c>
      <c r="G3" s="57">
        <v>48.3</v>
      </c>
      <c r="H3" s="57">
        <v>120.4</v>
      </c>
      <c r="I3">
        <v>44.7</v>
      </c>
      <c r="J3">
        <v>89.4</v>
      </c>
      <c r="K3" s="57">
        <v>50</v>
      </c>
      <c r="L3">
        <v>13.4</v>
      </c>
      <c r="M3">
        <v>34.299999999999997</v>
      </c>
      <c r="N3" s="57">
        <v>39.1</v>
      </c>
      <c r="O3" s="57">
        <v>17.600000000000001</v>
      </c>
      <c r="P3" s="57">
        <v>21.4</v>
      </c>
      <c r="Q3" s="57">
        <v>82.5</v>
      </c>
      <c r="R3">
        <v>8.8000000000000007</v>
      </c>
      <c r="S3">
        <v>33</v>
      </c>
      <c r="T3">
        <v>41.9</v>
      </c>
      <c r="U3">
        <v>26.9</v>
      </c>
      <c r="V3">
        <v>12.5</v>
      </c>
      <c r="W3">
        <v>8.3000000000000007</v>
      </c>
      <c r="X3">
        <v>6.6</v>
      </c>
      <c r="Y3">
        <v>5.0999999999999996</v>
      </c>
      <c r="Z3">
        <v>19.2</v>
      </c>
      <c r="AA3" s="57">
        <v>19</v>
      </c>
      <c r="AB3" s="57">
        <v>7.4</v>
      </c>
      <c r="AC3" s="63">
        <v>1</v>
      </c>
      <c r="AD3">
        <v>44.7</v>
      </c>
      <c r="AE3">
        <f>FGM!B$17+FGM!B$18*NBAQ1!AD3</f>
        <v>0.82079409431163519</v>
      </c>
      <c r="AF3" s="17">
        <f t="shared" ref="AF3:AF31" si="0">1/(1+EXP(-AE3))</f>
        <v>0.69440487828513564</v>
      </c>
      <c r="AH3" s="67"/>
      <c r="AI3" s="68"/>
      <c r="AQ3" s="24"/>
      <c r="AR3" s="33"/>
    </row>
    <row r="4" spans="1:47" ht="15" thickBot="1" x14ac:dyDescent="0.4">
      <c r="A4" s="57">
        <v>3</v>
      </c>
      <c r="B4" t="s">
        <v>242</v>
      </c>
      <c r="C4" s="57">
        <v>75</v>
      </c>
      <c r="D4" s="57">
        <v>52</v>
      </c>
      <c r="E4" s="57">
        <v>23</v>
      </c>
      <c r="F4" s="58">
        <v>0.69299999999999995</v>
      </c>
      <c r="G4" s="57">
        <v>48.1</v>
      </c>
      <c r="H4" s="57">
        <v>114.6</v>
      </c>
      <c r="I4">
        <v>43.9</v>
      </c>
      <c r="J4">
        <v>88.6</v>
      </c>
      <c r="K4" s="57">
        <v>49.5</v>
      </c>
      <c r="L4">
        <v>11.5</v>
      </c>
      <c r="M4">
        <v>30.9</v>
      </c>
      <c r="N4" s="57">
        <v>37.299999999999997</v>
      </c>
      <c r="O4" s="57">
        <v>15.3</v>
      </c>
      <c r="P4" s="57">
        <v>20</v>
      </c>
      <c r="Q4" s="57">
        <v>76.5</v>
      </c>
      <c r="R4">
        <v>10.8</v>
      </c>
      <c r="S4">
        <v>33.4</v>
      </c>
      <c r="T4">
        <v>44.3</v>
      </c>
      <c r="U4">
        <v>29.3</v>
      </c>
      <c r="V4">
        <v>12.6</v>
      </c>
      <c r="W4">
        <v>7.1</v>
      </c>
      <c r="X4">
        <v>5.4</v>
      </c>
      <c r="Y4">
        <v>4.9000000000000004</v>
      </c>
      <c r="Z4">
        <v>18.2</v>
      </c>
      <c r="AA4" s="57">
        <v>18</v>
      </c>
      <c r="AB4" s="57">
        <v>4.8</v>
      </c>
      <c r="AC4" s="63">
        <v>1</v>
      </c>
      <c r="AD4">
        <v>43.9</v>
      </c>
      <c r="AE4">
        <f>FGM!B$17+FGM!B$18*NBAQ1!AD4</f>
        <v>0.72843722331459038</v>
      </c>
      <c r="AF4" s="17">
        <f t="shared" si="0"/>
        <v>0.67446223835497099</v>
      </c>
      <c r="AH4" s="67" t="s">
        <v>297</v>
      </c>
      <c r="AI4" s="68">
        <f>$AI$1+$AI$2*AI5</f>
        <v>0.85542792093552666</v>
      </c>
      <c r="AQ4" s="24" t="s">
        <v>297</v>
      </c>
      <c r="AR4" s="33">
        <f>$AR$1+$AR$2*AR5</f>
        <v>0.97087400968183335</v>
      </c>
    </row>
    <row r="5" spans="1:47" ht="15" thickBot="1" x14ac:dyDescent="0.4">
      <c r="A5" s="57">
        <v>4</v>
      </c>
      <c r="B5" t="s">
        <v>241</v>
      </c>
      <c r="C5" s="57">
        <v>74</v>
      </c>
      <c r="D5" s="57">
        <v>51</v>
      </c>
      <c r="E5" s="57">
        <v>23</v>
      </c>
      <c r="F5" s="58">
        <v>0.68899999999999995</v>
      </c>
      <c r="G5" s="57">
        <v>48.3</v>
      </c>
      <c r="H5" s="57">
        <v>112.9</v>
      </c>
      <c r="I5">
        <v>41.2</v>
      </c>
      <c r="J5">
        <v>85.1</v>
      </c>
      <c r="K5" s="57">
        <v>48.5</v>
      </c>
      <c r="L5">
        <v>12.6</v>
      </c>
      <c r="M5">
        <v>32.6</v>
      </c>
      <c r="N5" s="57">
        <v>38.6</v>
      </c>
      <c r="O5" s="57">
        <v>17.8</v>
      </c>
      <c r="P5" s="57">
        <v>22.9</v>
      </c>
      <c r="Q5" s="57">
        <v>77.7</v>
      </c>
      <c r="R5">
        <v>9.4</v>
      </c>
      <c r="S5">
        <v>34.4</v>
      </c>
      <c r="T5">
        <v>43.8</v>
      </c>
      <c r="U5">
        <v>26.5</v>
      </c>
      <c r="V5">
        <v>14.1</v>
      </c>
      <c r="W5">
        <v>7.7</v>
      </c>
      <c r="X5">
        <v>6</v>
      </c>
      <c r="Y5">
        <v>4.5999999999999996</v>
      </c>
      <c r="Z5">
        <v>18.899999999999999</v>
      </c>
      <c r="AA5" s="57">
        <v>19.8</v>
      </c>
      <c r="AB5" s="57">
        <v>6.6</v>
      </c>
      <c r="AC5" s="63">
        <v>1</v>
      </c>
      <c r="AD5">
        <v>41.2</v>
      </c>
      <c r="AE5">
        <f>FGM!B$17+FGM!B$18*NBAQ1!AD5</f>
        <v>0.41673278369956357</v>
      </c>
      <c r="AF5" s="17">
        <f t="shared" si="0"/>
        <v>0.60270116997280543</v>
      </c>
      <c r="AH5" s="34" t="s">
        <v>265</v>
      </c>
      <c r="AI5" s="30">
        <v>45</v>
      </c>
      <c r="AQ5" s="34" t="s">
        <v>265</v>
      </c>
      <c r="AR5" s="30">
        <v>46</v>
      </c>
    </row>
    <row r="6" spans="1:47" ht="15" thickBot="1" x14ac:dyDescent="0.4">
      <c r="A6" s="57">
        <v>5</v>
      </c>
      <c r="B6" t="s">
        <v>240</v>
      </c>
      <c r="C6" s="57">
        <v>74</v>
      </c>
      <c r="D6" s="57">
        <v>47</v>
      </c>
      <c r="E6" s="57">
        <v>27</v>
      </c>
      <c r="F6" s="58">
        <v>0.63500000000000001</v>
      </c>
      <c r="G6" s="57">
        <v>48.1</v>
      </c>
      <c r="H6" s="57">
        <v>116.3</v>
      </c>
      <c r="I6">
        <v>42.5</v>
      </c>
      <c r="J6">
        <v>86.3</v>
      </c>
      <c r="K6" s="57">
        <v>49.3</v>
      </c>
      <c r="L6">
        <v>12.8</v>
      </c>
      <c r="M6">
        <v>33.1</v>
      </c>
      <c r="N6" s="57">
        <v>38.700000000000003</v>
      </c>
      <c r="O6" s="57">
        <v>18.399999999999999</v>
      </c>
      <c r="P6" s="57">
        <v>22.4</v>
      </c>
      <c r="Q6" s="57">
        <v>82.2</v>
      </c>
      <c r="R6">
        <v>9.9</v>
      </c>
      <c r="S6">
        <v>32.5</v>
      </c>
      <c r="T6">
        <v>42.4</v>
      </c>
      <c r="U6">
        <v>25.7</v>
      </c>
      <c r="V6">
        <v>13</v>
      </c>
      <c r="W6">
        <v>7.8</v>
      </c>
      <c r="X6">
        <v>5.2</v>
      </c>
      <c r="Y6">
        <v>4.5999999999999996</v>
      </c>
      <c r="Z6">
        <v>18.5</v>
      </c>
      <c r="AA6" s="57">
        <v>19.100000000000001</v>
      </c>
      <c r="AB6" s="57">
        <v>3.6</v>
      </c>
      <c r="AC6" s="63">
        <v>1</v>
      </c>
      <c r="AD6">
        <v>42.5</v>
      </c>
      <c r="AE6">
        <f>FGM!B$17+FGM!B$18*NBAQ1!AD6</f>
        <v>0.56681269906976173</v>
      </c>
      <c r="AF6" s="17">
        <f t="shared" si="0"/>
        <v>0.63802739729606694</v>
      </c>
    </row>
    <row r="7" spans="1:47" ht="15" thickBot="1" x14ac:dyDescent="0.4">
      <c r="A7" s="57">
        <v>5</v>
      </c>
      <c r="B7" t="s">
        <v>239</v>
      </c>
      <c r="C7" s="57">
        <v>74</v>
      </c>
      <c r="D7" s="57">
        <v>47</v>
      </c>
      <c r="E7" s="57">
        <v>27</v>
      </c>
      <c r="F7" s="58">
        <v>0.63500000000000001</v>
      </c>
      <c r="G7" s="57">
        <v>48.3</v>
      </c>
      <c r="H7" s="57">
        <v>120.4</v>
      </c>
      <c r="I7">
        <v>43.5</v>
      </c>
      <c r="J7">
        <v>88.7</v>
      </c>
      <c r="K7" s="57">
        <v>49.1</v>
      </c>
      <c r="L7">
        <v>14.3</v>
      </c>
      <c r="M7">
        <v>38.1</v>
      </c>
      <c r="N7" s="57">
        <v>37.6</v>
      </c>
      <c r="O7" s="57">
        <v>19</v>
      </c>
      <c r="P7" s="57">
        <v>24.6</v>
      </c>
      <c r="Q7" s="57">
        <v>77.2</v>
      </c>
      <c r="R7">
        <v>9.3000000000000007</v>
      </c>
      <c r="S7">
        <v>34.9</v>
      </c>
      <c r="T7">
        <v>44.2</v>
      </c>
      <c r="U7">
        <v>26.6</v>
      </c>
      <c r="V7">
        <v>12.7</v>
      </c>
      <c r="W7">
        <v>6.8</v>
      </c>
      <c r="X7">
        <v>5</v>
      </c>
      <c r="Y7">
        <v>4.2</v>
      </c>
      <c r="Z7">
        <v>19.5</v>
      </c>
      <c r="AA7" s="57">
        <v>19.600000000000001</v>
      </c>
      <c r="AB7" s="57">
        <v>3.5</v>
      </c>
      <c r="AC7" s="63">
        <v>1</v>
      </c>
      <c r="AD7">
        <v>43.5</v>
      </c>
      <c r="AE7">
        <f>FGM!B$17+FGM!B$18*NBAQ1!AD7</f>
        <v>0.68225878781606752</v>
      </c>
      <c r="AF7" s="17">
        <f t="shared" si="0"/>
        <v>0.66424264884033757</v>
      </c>
      <c r="AH7" t="s">
        <v>304</v>
      </c>
      <c r="AI7">
        <f>1/(1+EXP(-AI4))</f>
        <v>0.70170453173708391</v>
      </c>
      <c r="AJ7" t="s">
        <v>305</v>
      </c>
      <c r="AQ7" t="s">
        <v>304</v>
      </c>
      <c r="AR7">
        <f>1/(1+EXP(-AR4))</f>
        <v>0.7252936721776051</v>
      </c>
    </row>
    <row r="8" spans="1:47" ht="15" thickBot="1" x14ac:dyDescent="0.4">
      <c r="A8" s="57">
        <v>7</v>
      </c>
      <c r="B8" t="s">
        <v>238</v>
      </c>
      <c r="C8" s="57">
        <v>74</v>
      </c>
      <c r="D8" s="57">
        <v>45</v>
      </c>
      <c r="E8" s="57">
        <v>29</v>
      </c>
      <c r="F8" s="58">
        <v>0.60799999999999998</v>
      </c>
      <c r="G8" s="57">
        <v>48</v>
      </c>
      <c r="H8" s="57">
        <v>118.7</v>
      </c>
      <c r="I8">
        <v>43.4</v>
      </c>
      <c r="J8">
        <v>89.7</v>
      </c>
      <c r="K8" s="57">
        <v>48.4</v>
      </c>
      <c r="L8">
        <v>14.7</v>
      </c>
      <c r="M8">
        <v>39.4</v>
      </c>
      <c r="N8" s="57">
        <v>37.299999999999997</v>
      </c>
      <c r="O8" s="57">
        <v>17.2</v>
      </c>
      <c r="P8" s="57">
        <v>22.8</v>
      </c>
      <c r="Q8" s="57">
        <v>75.5</v>
      </c>
      <c r="R8">
        <v>9.6999999999999993</v>
      </c>
      <c r="S8">
        <v>32.9</v>
      </c>
      <c r="T8">
        <v>42.6</v>
      </c>
      <c r="U8">
        <v>25.8</v>
      </c>
      <c r="V8">
        <v>12.2</v>
      </c>
      <c r="W8">
        <v>6.9</v>
      </c>
      <c r="X8">
        <v>4.8</v>
      </c>
      <c r="Y8">
        <v>4</v>
      </c>
      <c r="Z8">
        <v>18.5</v>
      </c>
      <c r="AA8" s="57">
        <v>20.5</v>
      </c>
      <c r="AB8" s="57">
        <v>2.4</v>
      </c>
      <c r="AC8" s="63">
        <v>1</v>
      </c>
      <c r="AD8">
        <v>43.4</v>
      </c>
      <c r="AE8">
        <f>FGM!B$17+FGM!B$18*NBAQ1!AD8</f>
        <v>0.67071417894143703</v>
      </c>
      <c r="AF8" s="17">
        <f t="shared" si="0"/>
        <v>0.66166305736604991</v>
      </c>
    </row>
    <row r="9" spans="1:47" ht="15" thickBot="1" x14ac:dyDescent="0.4">
      <c r="A9" s="57">
        <v>8</v>
      </c>
      <c r="B9" t="s">
        <v>237</v>
      </c>
      <c r="C9" s="57">
        <v>75</v>
      </c>
      <c r="D9" s="57">
        <v>45</v>
      </c>
      <c r="E9" s="57">
        <v>30</v>
      </c>
      <c r="F9" s="58">
        <v>0.6</v>
      </c>
      <c r="G9" s="57">
        <v>48.3</v>
      </c>
      <c r="H9" s="57">
        <v>112.6</v>
      </c>
      <c r="I9">
        <v>41.7</v>
      </c>
      <c r="J9">
        <v>87.1</v>
      </c>
      <c r="K9" s="57">
        <v>47.9</v>
      </c>
      <c r="L9">
        <v>13.6</v>
      </c>
      <c r="M9">
        <v>37.1</v>
      </c>
      <c r="N9" s="57">
        <v>36.6</v>
      </c>
      <c r="O9" s="57">
        <v>15.6</v>
      </c>
      <c r="P9" s="57">
        <v>20.399999999999999</v>
      </c>
      <c r="Q9" s="57">
        <v>76.400000000000006</v>
      </c>
      <c r="R9">
        <v>9.9</v>
      </c>
      <c r="S9">
        <v>33.700000000000003</v>
      </c>
      <c r="T9">
        <v>43.5</v>
      </c>
      <c r="U9">
        <v>28</v>
      </c>
      <c r="V9">
        <v>13.5</v>
      </c>
      <c r="W9">
        <v>7.2</v>
      </c>
      <c r="X9">
        <v>4.7</v>
      </c>
      <c r="Y9">
        <v>4.9000000000000004</v>
      </c>
      <c r="Z9">
        <v>17.899999999999999</v>
      </c>
      <c r="AA9" s="57">
        <v>18.899999999999999</v>
      </c>
      <c r="AB9" s="57">
        <v>2.8</v>
      </c>
      <c r="AC9" s="63">
        <v>1</v>
      </c>
      <c r="AD9">
        <v>41.7</v>
      </c>
      <c r="AE9">
        <f>FGM!B$17+FGM!B$18*NBAQ1!AD9</f>
        <v>0.47445582807271691</v>
      </c>
      <c r="AF9" s="17">
        <f t="shared" si="0"/>
        <v>0.61643784745376207</v>
      </c>
      <c r="AH9" t="s">
        <v>300</v>
      </c>
      <c r="AI9">
        <f>AI7/(1-AI7)</f>
        <v>2.3523807982178435</v>
      </c>
      <c r="AQ9" t="s">
        <v>300</v>
      </c>
      <c r="AR9">
        <f>AR7/(1-AR7)</f>
        <v>2.6402510561989208</v>
      </c>
      <c r="AT9">
        <f>AR9/AI9</f>
        <v>1.1223740043275166</v>
      </c>
      <c r="AU9" t="s">
        <v>306</v>
      </c>
    </row>
    <row r="10" spans="1:47" ht="15" thickBot="1" x14ac:dyDescent="0.4">
      <c r="A10" s="57">
        <v>8</v>
      </c>
      <c r="B10" t="s">
        <v>236</v>
      </c>
      <c r="C10" s="57">
        <v>75</v>
      </c>
      <c r="D10" s="57">
        <v>45</v>
      </c>
      <c r="E10" s="57">
        <v>30</v>
      </c>
      <c r="F10" s="58">
        <v>0.6</v>
      </c>
      <c r="G10" s="57">
        <v>48.1</v>
      </c>
      <c r="H10" s="57">
        <v>115.2</v>
      </c>
      <c r="I10">
        <v>42.6</v>
      </c>
      <c r="J10">
        <v>87.6</v>
      </c>
      <c r="K10" s="57">
        <v>48.7</v>
      </c>
      <c r="L10">
        <v>12.2</v>
      </c>
      <c r="M10">
        <v>32.299999999999997</v>
      </c>
      <c r="N10" s="57">
        <v>37.9</v>
      </c>
      <c r="O10" s="57">
        <v>17.7</v>
      </c>
      <c r="P10" s="57">
        <v>23.2</v>
      </c>
      <c r="Q10" s="57">
        <v>76.5</v>
      </c>
      <c r="R10">
        <v>10.6</v>
      </c>
      <c r="S10">
        <v>33.799999999999997</v>
      </c>
      <c r="T10">
        <v>44.3</v>
      </c>
      <c r="U10">
        <v>27</v>
      </c>
      <c r="V10">
        <v>13</v>
      </c>
      <c r="W10">
        <v>8.1999999999999993</v>
      </c>
      <c r="X10">
        <v>4.8</v>
      </c>
      <c r="Y10">
        <v>5.3</v>
      </c>
      <c r="Z10">
        <v>18.600000000000001</v>
      </c>
      <c r="AA10" s="57">
        <v>18.600000000000001</v>
      </c>
      <c r="AB10" s="57">
        <v>4.7</v>
      </c>
      <c r="AC10" s="63">
        <v>1</v>
      </c>
      <c r="AD10">
        <v>42.6</v>
      </c>
      <c r="AE10">
        <f>FGM!B$17+FGM!B$18*NBAQ1!AD10</f>
        <v>0.57835730794439222</v>
      </c>
      <c r="AF10" s="17">
        <f t="shared" si="0"/>
        <v>0.64068933538891037</v>
      </c>
    </row>
    <row r="11" spans="1:47" ht="15" thickBot="1" x14ac:dyDescent="0.4">
      <c r="A11" s="57">
        <v>10</v>
      </c>
      <c r="B11" t="s">
        <v>235</v>
      </c>
      <c r="C11" s="57">
        <v>74</v>
      </c>
      <c r="D11" s="57">
        <v>44</v>
      </c>
      <c r="E11" s="57">
        <v>30</v>
      </c>
      <c r="F11" s="58">
        <v>0.59499999999999997</v>
      </c>
      <c r="G11" s="57">
        <v>48.1</v>
      </c>
      <c r="H11" s="57">
        <v>112.6</v>
      </c>
      <c r="I11">
        <v>41.2</v>
      </c>
      <c r="J11">
        <v>89</v>
      </c>
      <c r="K11" s="57">
        <v>46.3</v>
      </c>
      <c r="L11">
        <v>13.2</v>
      </c>
      <c r="M11">
        <v>36.200000000000003</v>
      </c>
      <c r="N11" s="57">
        <v>36.5</v>
      </c>
      <c r="O11" s="57">
        <v>17</v>
      </c>
      <c r="P11" s="57">
        <v>21.9</v>
      </c>
      <c r="Q11" s="57">
        <v>78</v>
      </c>
      <c r="R11">
        <v>12.9</v>
      </c>
      <c r="S11">
        <v>32.9</v>
      </c>
      <c r="T11">
        <v>45.8</v>
      </c>
      <c r="U11">
        <v>24.2</v>
      </c>
      <c r="V11">
        <v>13.3</v>
      </c>
      <c r="W11">
        <v>7.4</v>
      </c>
      <c r="X11">
        <v>4.0999999999999996</v>
      </c>
      <c r="Y11">
        <v>5.2</v>
      </c>
      <c r="Z11">
        <v>17.8</v>
      </c>
      <c r="AA11" s="57">
        <v>19.100000000000001</v>
      </c>
      <c r="AB11" s="57">
        <v>4.7</v>
      </c>
      <c r="AC11" s="63">
        <v>1</v>
      </c>
      <c r="AD11">
        <v>41.2</v>
      </c>
      <c r="AE11">
        <f>FGM!B$17+FGM!B$18*NBAQ1!AD11</f>
        <v>0.41673278369956357</v>
      </c>
      <c r="AF11" s="17">
        <f t="shared" si="0"/>
        <v>0.60270116997280543</v>
      </c>
    </row>
    <row r="12" spans="1:47" ht="15" thickBot="1" x14ac:dyDescent="0.4">
      <c r="A12" s="57">
        <v>11</v>
      </c>
      <c r="B12" t="s">
        <v>234</v>
      </c>
      <c r="C12" s="57">
        <v>75</v>
      </c>
      <c r="D12" s="57">
        <v>44</v>
      </c>
      <c r="E12" s="57">
        <v>31</v>
      </c>
      <c r="F12" s="58">
        <v>0.58699999999999997</v>
      </c>
      <c r="G12" s="57">
        <v>48.3</v>
      </c>
      <c r="H12" s="57">
        <v>110.4</v>
      </c>
      <c r="I12">
        <v>40.4</v>
      </c>
      <c r="J12">
        <v>84.7</v>
      </c>
      <c r="K12" s="57">
        <v>47.7</v>
      </c>
      <c r="L12">
        <v>11.1</v>
      </c>
      <c r="M12">
        <v>31.3</v>
      </c>
      <c r="N12" s="57">
        <v>35.5</v>
      </c>
      <c r="O12" s="57">
        <v>18.399999999999999</v>
      </c>
      <c r="P12" s="57">
        <v>24.5</v>
      </c>
      <c r="Q12" s="57">
        <v>75.3</v>
      </c>
      <c r="R12">
        <v>10.6</v>
      </c>
      <c r="S12">
        <v>31.9</v>
      </c>
      <c r="T12">
        <v>42.5</v>
      </c>
      <c r="U12">
        <v>24.7</v>
      </c>
      <c r="V12">
        <v>14.9</v>
      </c>
      <c r="W12">
        <v>8.1</v>
      </c>
      <c r="X12">
        <v>5.3</v>
      </c>
      <c r="Y12">
        <v>4.5999999999999996</v>
      </c>
      <c r="Z12">
        <v>19.899999999999999</v>
      </c>
      <c r="AA12" s="57">
        <v>20.9</v>
      </c>
      <c r="AB12" s="57">
        <v>2.2000000000000002</v>
      </c>
      <c r="AC12" s="63">
        <v>1</v>
      </c>
      <c r="AD12">
        <v>40.4</v>
      </c>
      <c r="AE12">
        <f>FGM!B$17+FGM!B$18*NBAQ1!AD12</f>
        <v>0.32437591270251875</v>
      </c>
      <c r="AF12" s="17">
        <f t="shared" si="0"/>
        <v>0.58039032385536626</v>
      </c>
    </row>
    <row r="13" spans="1:47" ht="15" thickBot="1" x14ac:dyDescent="0.4">
      <c r="A13" s="57">
        <v>11</v>
      </c>
      <c r="B13" t="s">
        <v>233</v>
      </c>
      <c r="C13" s="57">
        <v>75</v>
      </c>
      <c r="D13" s="57">
        <v>44</v>
      </c>
      <c r="E13" s="57">
        <v>31</v>
      </c>
      <c r="F13" s="58">
        <v>0.58699999999999997</v>
      </c>
      <c r="G13" s="57">
        <v>48.3</v>
      </c>
      <c r="H13" s="57">
        <v>116.8</v>
      </c>
      <c r="I13">
        <v>42.7</v>
      </c>
      <c r="J13">
        <v>86.2</v>
      </c>
      <c r="K13" s="57">
        <v>49.5</v>
      </c>
      <c r="L13">
        <v>12.3</v>
      </c>
      <c r="M13">
        <v>32.4</v>
      </c>
      <c r="N13" s="57">
        <v>38.1</v>
      </c>
      <c r="O13" s="57">
        <v>19</v>
      </c>
      <c r="P13" s="57">
        <v>23.7</v>
      </c>
      <c r="Q13" s="57">
        <v>80.400000000000006</v>
      </c>
      <c r="R13">
        <v>10.3</v>
      </c>
      <c r="S13">
        <v>34.1</v>
      </c>
      <c r="T13">
        <v>44.3</v>
      </c>
      <c r="U13">
        <v>27</v>
      </c>
      <c r="V13">
        <v>14.9</v>
      </c>
      <c r="W13">
        <v>7.2</v>
      </c>
      <c r="X13">
        <v>6.1</v>
      </c>
      <c r="Y13">
        <v>4.5999999999999996</v>
      </c>
      <c r="Z13">
        <v>18.100000000000001</v>
      </c>
      <c r="AA13" s="57">
        <v>19.8</v>
      </c>
      <c r="AB13" s="57">
        <v>2.7</v>
      </c>
      <c r="AC13" s="63">
        <v>1</v>
      </c>
      <c r="AD13">
        <v>42.7</v>
      </c>
      <c r="AE13">
        <f>FGM!B$17+FGM!B$18*NBAQ1!AD13</f>
        <v>0.58990191681902271</v>
      </c>
      <c r="AF13" s="17">
        <f t="shared" si="0"/>
        <v>0.64334264054175028</v>
      </c>
    </row>
    <row r="14" spans="1:47" ht="160" thickBot="1" x14ac:dyDescent="0.4">
      <c r="A14" s="57">
        <v>13</v>
      </c>
      <c r="B14" t="s">
        <v>232</v>
      </c>
      <c r="C14" s="57">
        <v>74</v>
      </c>
      <c r="D14" s="57">
        <v>43</v>
      </c>
      <c r="E14" s="57">
        <v>31</v>
      </c>
      <c r="F14" s="58">
        <v>0.58099999999999996</v>
      </c>
      <c r="G14" s="57">
        <v>48.5</v>
      </c>
      <c r="H14" s="57">
        <v>117.3</v>
      </c>
      <c r="I14">
        <v>43.7</v>
      </c>
      <c r="J14">
        <v>90.9</v>
      </c>
      <c r="K14" s="57">
        <v>48.1</v>
      </c>
      <c r="L14">
        <v>14.2</v>
      </c>
      <c r="M14">
        <v>38.799999999999997</v>
      </c>
      <c r="N14" s="57">
        <v>36.700000000000003</v>
      </c>
      <c r="O14" s="57">
        <v>15.7</v>
      </c>
      <c r="P14" s="57">
        <v>21</v>
      </c>
      <c r="Q14" s="57">
        <v>74.5</v>
      </c>
      <c r="R14">
        <v>10.6</v>
      </c>
      <c r="S14">
        <v>33.1</v>
      </c>
      <c r="T14">
        <v>43.7</v>
      </c>
      <c r="U14">
        <v>28.6</v>
      </c>
      <c r="V14">
        <v>13.3</v>
      </c>
      <c r="W14">
        <v>7.6</v>
      </c>
      <c r="X14">
        <v>4.0999999999999996</v>
      </c>
      <c r="Y14">
        <v>4.5999999999999996</v>
      </c>
      <c r="Z14">
        <v>20</v>
      </c>
      <c r="AA14" s="57">
        <v>18.5</v>
      </c>
      <c r="AB14" s="57">
        <v>1.2</v>
      </c>
      <c r="AC14" s="63">
        <v>1</v>
      </c>
      <c r="AD14">
        <v>43.7</v>
      </c>
      <c r="AE14">
        <f>FGM!B$17+FGM!B$18*NBAQ1!AD14</f>
        <v>0.70534800556532939</v>
      </c>
      <c r="AF14" s="17">
        <f t="shared" si="0"/>
        <v>0.66937242546582087</v>
      </c>
      <c r="AH14" s="36" t="s">
        <v>330</v>
      </c>
    </row>
    <row r="15" spans="1:47" ht="15" thickBot="1" x14ac:dyDescent="0.4">
      <c r="A15" s="57">
        <v>14</v>
      </c>
      <c r="B15" t="s">
        <v>231</v>
      </c>
      <c r="C15" s="57">
        <v>76</v>
      </c>
      <c r="D15" s="57">
        <v>43</v>
      </c>
      <c r="E15" s="57">
        <v>33</v>
      </c>
      <c r="F15" s="58">
        <v>0.56599999999999995</v>
      </c>
      <c r="G15" s="57">
        <v>48.1</v>
      </c>
      <c r="H15" s="57">
        <v>122.9</v>
      </c>
      <c r="I15">
        <v>46.8</v>
      </c>
      <c r="J15">
        <v>92.6</v>
      </c>
      <c r="K15" s="57">
        <v>50.5</v>
      </c>
      <c r="L15">
        <v>13.2</v>
      </c>
      <c r="M15">
        <v>35.200000000000003</v>
      </c>
      <c r="N15" s="57">
        <v>37.6</v>
      </c>
      <c r="O15" s="57">
        <v>16.100000000000001</v>
      </c>
      <c r="P15" s="57">
        <v>20.8</v>
      </c>
      <c r="Q15" s="57">
        <v>77.8</v>
      </c>
      <c r="R15">
        <v>10</v>
      </c>
      <c r="S15">
        <v>31.5</v>
      </c>
      <c r="T15">
        <v>41.5</v>
      </c>
      <c r="U15">
        <v>30.6</v>
      </c>
      <c r="V15">
        <v>13</v>
      </c>
      <c r="W15">
        <v>7.7</v>
      </c>
      <c r="X15">
        <v>5.9</v>
      </c>
      <c r="Y15">
        <v>5.4</v>
      </c>
      <c r="Z15">
        <v>21.4</v>
      </c>
      <c r="AA15" s="57">
        <v>18.399999999999999</v>
      </c>
      <c r="AB15" s="57">
        <v>2.5</v>
      </c>
      <c r="AC15" s="63">
        <v>1</v>
      </c>
      <c r="AD15">
        <v>46.8</v>
      </c>
      <c r="AE15">
        <f>FGM!B$17+FGM!B$18*NBAQ1!AD15</f>
        <v>1.0632308806788773</v>
      </c>
      <c r="AF15" s="17">
        <f t="shared" si="0"/>
        <v>0.74330748651518797</v>
      </c>
    </row>
    <row r="16" spans="1:47" ht="15" thickBot="1" x14ac:dyDescent="0.4">
      <c r="A16" s="57">
        <v>15</v>
      </c>
      <c r="B16" t="s">
        <v>230</v>
      </c>
      <c r="C16" s="57">
        <v>75</v>
      </c>
      <c r="D16" s="57">
        <v>42</v>
      </c>
      <c r="E16" s="57">
        <v>33</v>
      </c>
      <c r="F16" s="58">
        <v>0.56000000000000005</v>
      </c>
      <c r="G16" s="57">
        <v>48.5</v>
      </c>
      <c r="H16" s="57">
        <v>117.7</v>
      </c>
      <c r="I16">
        <v>43.5</v>
      </c>
      <c r="J16">
        <v>87.4</v>
      </c>
      <c r="K16" s="57">
        <v>49.8</v>
      </c>
      <c r="L16">
        <v>11.7</v>
      </c>
      <c r="M16">
        <v>31.1</v>
      </c>
      <c r="N16" s="57">
        <v>37.700000000000003</v>
      </c>
      <c r="O16" s="57">
        <v>18.899999999999999</v>
      </c>
      <c r="P16" s="57">
        <v>24.2</v>
      </c>
      <c r="Q16" s="57">
        <v>78</v>
      </c>
      <c r="R16">
        <v>8.1</v>
      </c>
      <c r="S16">
        <v>35.1</v>
      </c>
      <c r="T16">
        <v>43.2</v>
      </c>
      <c r="U16">
        <v>28.5</v>
      </c>
      <c r="V16">
        <v>13.8</v>
      </c>
      <c r="W16">
        <v>7.2</v>
      </c>
      <c r="X16">
        <v>5.5</v>
      </c>
      <c r="Y16">
        <v>4.8</v>
      </c>
      <c r="Z16">
        <v>15.8</v>
      </c>
      <c r="AA16" s="57">
        <v>19.8</v>
      </c>
      <c r="AB16" s="57">
        <v>0.2</v>
      </c>
      <c r="AC16" s="63">
        <v>1</v>
      </c>
      <c r="AD16">
        <v>43.5</v>
      </c>
      <c r="AE16">
        <f>FGM!B$17+FGM!B$18*NBAQ1!AD16</f>
        <v>0.68225878781606752</v>
      </c>
      <c r="AF16" s="17">
        <f t="shared" si="0"/>
        <v>0.66424264884033757</v>
      </c>
    </row>
    <row r="17" spans="1:32" ht="15" thickBot="1" x14ac:dyDescent="0.4">
      <c r="A17" s="57">
        <v>16</v>
      </c>
      <c r="B17" t="s">
        <v>229</v>
      </c>
      <c r="C17" s="57">
        <v>74</v>
      </c>
      <c r="D17" s="57">
        <v>41</v>
      </c>
      <c r="E17" s="57">
        <v>33</v>
      </c>
      <c r="F17" s="58">
        <v>0.55400000000000005</v>
      </c>
      <c r="G17" s="57">
        <v>48.1</v>
      </c>
      <c r="H17" s="57">
        <v>109.9</v>
      </c>
      <c r="I17">
        <v>39.799999999999997</v>
      </c>
      <c r="J17">
        <v>85.7</v>
      </c>
      <c r="K17" s="57">
        <v>46.4</v>
      </c>
      <c r="L17">
        <v>12.4</v>
      </c>
      <c r="M17">
        <v>33.4</v>
      </c>
      <c r="N17" s="57">
        <v>37</v>
      </c>
      <c r="O17" s="57">
        <v>18</v>
      </c>
      <c r="P17" s="57">
        <v>22.2</v>
      </c>
      <c r="Q17" s="57">
        <v>81.3</v>
      </c>
      <c r="R17">
        <v>9.3000000000000007</v>
      </c>
      <c r="S17">
        <v>32.799999999999997</v>
      </c>
      <c r="T17">
        <v>42.1</v>
      </c>
      <c r="U17">
        <v>25.7</v>
      </c>
      <c r="V17">
        <v>12.5</v>
      </c>
      <c r="W17">
        <v>7.6</v>
      </c>
      <c r="X17">
        <v>3.4</v>
      </c>
      <c r="Y17">
        <v>4.8</v>
      </c>
      <c r="Z17">
        <v>17.399999999999999</v>
      </c>
      <c r="AA17" s="57">
        <v>19</v>
      </c>
      <c r="AB17" s="57">
        <v>1.4</v>
      </c>
      <c r="AC17" s="63">
        <v>1</v>
      </c>
      <c r="AD17">
        <v>39.799999999999997</v>
      </c>
      <c r="AE17">
        <f>FGM!B$17+FGM!B$18*NBAQ1!AD17</f>
        <v>0.25510825945473492</v>
      </c>
      <c r="AF17" s="17">
        <f t="shared" si="0"/>
        <v>0.56343341569452077</v>
      </c>
    </row>
    <row r="18" spans="1:32" ht="15" thickBot="1" x14ac:dyDescent="0.4">
      <c r="A18" s="57">
        <v>17</v>
      </c>
      <c r="B18" t="s">
        <v>228</v>
      </c>
      <c r="C18" s="57">
        <v>74</v>
      </c>
      <c r="D18" s="57">
        <v>40</v>
      </c>
      <c r="E18" s="57">
        <v>34</v>
      </c>
      <c r="F18" s="58">
        <v>0.54100000000000004</v>
      </c>
      <c r="G18" s="57">
        <v>48.4</v>
      </c>
      <c r="H18" s="57">
        <v>118</v>
      </c>
      <c r="I18">
        <v>43.7</v>
      </c>
      <c r="J18">
        <v>92.2</v>
      </c>
      <c r="K18" s="57">
        <v>47.4</v>
      </c>
      <c r="L18">
        <v>14.7</v>
      </c>
      <c r="M18">
        <v>39.200000000000003</v>
      </c>
      <c r="N18" s="57">
        <v>37.5</v>
      </c>
      <c r="O18" s="57">
        <v>15.8</v>
      </c>
      <c r="P18" s="57">
        <v>20.3</v>
      </c>
      <c r="Q18" s="57">
        <v>77.8</v>
      </c>
      <c r="R18">
        <v>12.4</v>
      </c>
      <c r="S18">
        <v>34.4</v>
      </c>
      <c r="T18">
        <v>46.8</v>
      </c>
      <c r="U18">
        <v>29.2</v>
      </c>
      <c r="V18">
        <v>14.2</v>
      </c>
      <c r="W18">
        <v>6.9</v>
      </c>
      <c r="X18">
        <v>4.4000000000000004</v>
      </c>
      <c r="Y18">
        <v>5</v>
      </c>
      <c r="Z18">
        <v>19.7</v>
      </c>
      <c r="AA18" s="57">
        <v>18.2</v>
      </c>
      <c r="AB18" s="57">
        <v>2.1</v>
      </c>
      <c r="AC18" s="63">
        <v>0</v>
      </c>
      <c r="AD18">
        <v>43.7</v>
      </c>
      <c r="AE18">
        <f>FGM!B$17+FGM!B$18*NBAQ1!AD18</f>
        <v>0.70534800556532939</v>
      </c>
      <c r="AF18" s="17">
        <f t="shared" si="0"/>
        <v>0.66937242546582087</v>
      </c>
    </row>
    <row r="19" spans="1:32" ht="15" thickBot="1" x14ac:dyDescent="0.4">
      <c r="A19" s="57">
        <v>18</v>
      </c>
      <c r="B19" t="s">
        <v>227</v>
      </c>
      <c r="C19" s="57">
        <v>75</v>
      </c>
      <c r="D19" s="57">
        <v>40</v>
      </c>
      <c r="E19" s="57">
        <v>35</v>
      </c>
      <c r="F19" s="58">
        <v>0.53300000000000003</v>
      </c>
      <c r="G19" s="57">
        <v>48.1</v>
      </c>
      <c r="H19" s="57">
        <v>114.4</v>
      </c>
      <c r="I19">
        <v>41.4</v>
      </c>
      <c r="J19">
        <v>89.1</v>
      </c>
      <c r="K19" s="57">
        <v>46.4</v>
      </c>
      <c r="L19">
        <v>11.9</v>
      </c>
      <c r="M19">
        <v>32.9</v>
      </c>
      <c r="N19" s="57">
        <v>36.1</v>
      </c>
      <c r="O19" s="57">
        <v>19.7</v>
      </c>
      <c r="P19" s="57">
        <v>23.9</v>
      </c>
      <c r="Q19" s="57">
        <v>82.5</v>
      </c>
      <c r="R19">
        <v>11.1</v>
      </c>
      <c r="S19">
        <v>31.5</v>
      </c>
      <c r="T19">
        <v>42.7</v>
      </c>
      <c r="U19">
        <v>24.6</v>
      </c>
      <c r="V19">
        <v>11.8</v>
      </c>
      <c r="W19">
        <v>8.3000000000000007</v>
      </c>
      <c r="X19">
        <v>6</v>
      </c>
      <c r="Y19">
        <v>6.1</v>
      </c>
      <c r="Z19">
        <v>20.5</v>
      </c>
      <c r="AA19" s="57">
        <v>18.7</v>
      </c>
      <c r="AB19" s="57">
        <v>2.2000000000000002</v>
      </c>
      <c r="AC19" s="63">
        <v>0</v>
      </c>
      <c r="AD19">
        <v>41.4</v>
      </c>
      <c r="AE19">
        <f>FGM!B$17+FGM!B$18*NBAQ1!AD19</f>
        <v>0.43982200144882455</v>
      </c>
      <c r="AF19" s="17">
        <f t="shared" si="0"/>
        <v>0.6082166164376881</v>
      </c>
    </row>
    <row r="20" spans="1:32" ht="15" thickBot="1" x14ac:dyDescent="0.4">
      <c r="A20" s="57">
        <v>19</v>
      </c>
      <c r="B20" t="s">
        <v>226</v>
      </c>
      <c r="C20" s="57">
        <v>74</v>
      </c>
      <c r="D20" s="57">
        <v>38</v>
      </c>
      <c r="E20" s="57">
        <v>36</v>
      </c>
      <c r="F20" s="58">
        <v>0.51400000000000001</v>
      </c>
      <c r="G20" s="57">
        <v>48.4</v>
      </c>
      <c r="H20" s="57">
        <v>114.2</v>
      </c>
      <c r="I20">
        <v>41.7</v>
      </c>
      <c r="J20">
        <v>90.8</v>
      </c>
      <c r="K20" s="57">
        <v>46</v>
      </c>
      <c r="L20">
        <v>12.5</v>
      </c>
      <c r="M20">
        <v>35.6</v>
      </c>
      <c r="N20" s="57">
        <v>35.299999999999997</v>
      </c>
      <c r="O20" s="57">
        <v>18.100000000000001</v>
      </c>
      <c r="P20" s="57">
        <v>23.5</v>
      </c>
      <c r="Q20" s="57">
        <v>77.2</v>
      </c>
      <c r="R20">
        <v>11.5</v>
      </c>
      <c r="S20">
        <v>34.5</v>
      </c>
      <c r="T20">
        <v>46</v>
      </c>
      <c r="U20">
        <v>24.7</v>
      </c>
      <c r="V20">
        <v>12.8</v>
      </c>
      <c r="W20">
        <v>7.8</v>
      </c>
      <c r="X20">
        <v>4.5999999999999996</v>
      </c>
      <c r="Y20">
        <v>5.9</v>
      </c>
      <c r="Z20">
        <v>20.8</v>
      </c>
      <c r="AA20" s="57">
        <v>19.8</v>
      </c>
      <c r="AB20" s="57">
        <v>1.6</v>
      </c>
      <c r="AC20" s="63">
        <v>0</v>
      </c>
      <c r="AD20">
        <v>41.7</v>
      </c>
      <c r="AE20">
        <f>FGM!B$17+FGM!B$18*NBAQ1!AD20</f>
        <v>0.47445582807271691</v>
      </c>
      <c r="AF20" s="17">
        <f t="shared" si="0"/>
        <v>0.61643784745376207</v>
      </c>
    </row>
    <row r="21" spans="1:32" ht="15" thickBot="1" x14ac:dyDescent="0.4">
      <c r="A21" s="57">
        <v>20</v>
      </c>
      <c r="B21" t="s">
        <v>225</v>
      </c>
      <c r="C21" s="57">
        <v>76</v>
      </c>
      <c r="D21" s="57">
        <v>36</v>
      </c>
      <c r="E21" s="57">
        <v>40</v>
      </c>
      <c r="F21" s="58">
        <v>0.47399999999999998</v>
      </c>
      <c r="G21" s="57">
        <v>48.7</v>
      </c>
      <c r="H21" s="57">
        <v>111.9</v>
      </c>
      <c r="I21">
        <v>41.7</v>
      </c>
      <c r="J21">
        <v>89.3</v>
      </c>
      <c r="K21" s="57">
        <v>46.7</v>
      </c>
      <c r="L21">
        <v>11.6</v>
      </c>
      <c r="M21">
        <v>32.299999999999997</v>
      </c>
      <c r="N21" s="57">
        <v>35.9</v>
      </c>
      <c r="O21" s="57">
        <v>16.899999999999999</v>
      </c>
      <c r="P21" s="57">
        <v>21.3</v>
      </c>
      <c r="Q21" s="57">
        <v>79.5</v>
      </c>
      <c r="R21">
        <v>11</v>
      </c>
      <c r="S21">
        <v>32.700000000000003</v>
      </c>
      <c r="T21">
        <v>43.7</v>
      </c>
      <c r="U21">
        <v>25</v>
      </c>
      <c r="V21">
        <v>12.1</v>
      </c>
      <c r="W21">
        <v>7.6</v>
      </c>
      <c r="X21">
        <v>4.8</v>
      </c>
      <c r="Y21">
        <v>5</v>
      </c>
      <c r="Z21">
        <v>18.8</v>
      </c>
      <c r="AA21" s="57">
        <v>18.899999999999999</v>
      </c>
      <c r="AB21" s="57">
        <v>-1.6</v>
      </c>
      <c r="AC21" s="63">
        <v>0</v>
      </c>
      <c r="AD21">
        <v>41.7</v>
      </c>
      <c r="AE21">
        <f>FGM!B$17+FGM!B$18*NBAQ1!AD21</f>
        <v>0.47445582807271691</v>
      </c>
      <c r="AF21" s="17">
        <f t="shared" si="0"/>
        <v>0.61643784745376207</v>
      </c>
    </row>
    <row r="22" spans="1:32" ht="15" thickBot="1" x14ac:dyDescent="0.4">
      <c r="A22" s="57">
        <v>21</v>
      </c>
      <c r="B22" t="s">
        <v>224</v>
      </c>
      <c r="C22" s="57">
        <v>75</v>
      </c>
      <c r="D22" s="57">
        <v>35</v>
      </c>
      <c r="E22" s="57">
        <v>40</v>
      </c>
      <c r="F22" s="58">
        <v>0.46700000000000003</v>
      </c>
      <c r="G22" s="57">
        <v>48.3</v>
      </c>
      <c r="H22" s="57">
        <v>119.1</v>
      </c>
      <c r="I22">
        <v>43.2</v>
      </c>
      <c r="J22">
        <v>92.6</v>
      </c>
      <c r="K22" s="57">
        <v>46.7</v>
      </c>
      <c r="L22">
        <v>13.8</v>
      </c>
      <c r="M22">
        <v>37.700000000000003</v>
      </c>
      <c r="N22" s="57">
        <v>36.700000000000003</v>
      </c>
      <c r="O22" s="57">
        <v>18.8</v>
      </c>
      <c r="P22" s="57">
        <v>23.5</v>
      </c>
      <c r="Q22" s="57">
        <v>80.099999999999994</v>
      </c>
      <c r="R22">
        <v>12.7</v>
      </c>
      <c r="S22">
        <v>32</v>
      </c>
      <c r="T22">
        <v>44.7</v>
      </c>
      <c r="U22">
        <v>26.4</v>
      </c>
      <c r="V22">
        <v>13.2</v>
      </c>
      <c r="W22">
        <v>7.5</v>
      </c>
      <c r="X22">
        <v>4.5999999999999996</v>
      </c>
      <c r="Y22">
        <v>5.6</v>
      </c>
      <c r="Z22">
        <v>18.5</v>
      </c>
      <c r="AA22" s="57">
        <v>19.5</v>
      </c>
      <c r="AB22" s="57">
        <v>-1.2</v>
      </c>
      <c r="AC22" s="63">
        <v>0</v>
      </c>
      <c r="AD22">
        <v>43.2</v>
      </c>
      <c r="AE22">
        <f>FGM!B$17+FGM!B$18*NBAQ1!AD22</f>
        <v>0.64762496119217605</v>
      </c>
      <c r="AF22" s="17">
        <f t="shared" si="0"/>
        <v>0.65647505370053383</v>
      </c>
    </row>
    <row r="23" spans="1:32" ht="15" thickBot="1" x14ac:dyDescent="0.4">
      <c r="A23" s="57">
        <v>22</v>
      </c>
      <c r="B23" t="s">
        <v>223</v>
      </c>
      <c r="C23" s="57">
        <v>75</v>
      </c>
      <c r="D23" s="57">
        <v>29</v>
      </c>
      <c r="E23" s="57">
        <v>46</v>
      </c>
      <c r="F23" s="58">
        <v>0.38700000000000001</v>
      </c>
      <c r="G23" s="57">
        <v>48.3</v>
      </c>
      <c r="H23" s="57">
        <v>116.2</v>
      </c>
      <c r="I23">
        <v>42.1</v>
      </c>
      <c r="J23">
        <v>90.1</v>
      </c>
      <c r="K23" s="57">
        <v>46.8</v>
      </c>
      <c r="L23">
        <v>13</v>
      </c>
      <c r="M23">
        <v>36.700000000000003</v>
      </c>
      <c r="N23" s="57">
        <v>35.5</v>
      </c>
      <c r="O23" s="57">
        <v>18.899999999999999</v>
      </c>
      <c r="P23" s="57">
        <v>22.7</v>
      </c>
      <c r="Q23" s="57">
        <v>83.1</v>
      </c>
      <c r="R23">
        <v>12.3</v>
      </c>
      <c r="S23">
        <v>33.5</v>
      </c>
      <c r="T23">
        <v>45.8</v>
      </c>
      <c r="U23">
        <v>27.6</v>
      </c>
      <c r="V23">
        <v>15.6</v>
      </c>
      <c r="W23">
        <v>6.5</v>
      </c>
      <c r="X23">
        <v>5.7</v>
      </c>
      <c r="Y23">
        <v>6.4</v>
      </c>
      <c r="Z23">
        <v>18.8</v>
      </c>
      <c r="AA23" s="57">
        <v>19.5</v>
      </c>
      <c r="AB23" s="57">
        <v>-4.4000000000000004</v>
      </c>
      <c r="AC23" s="63">
        <v>0</v>
      </c>
      <c r="AD23">
        <v>42.1</v>
      </c>
      <c r="AE23">
        <f>FGM!B$17+FGM!B$18*NBAQ1!AD23</f>
        <v>0.52063426357123888</v>
      </c>
      <c r="AF23" s="17">
        <f t="shared" si="0"/>
        <v>0.62729606638476709</v>
      </c>
    </row>
    <row r="24" spans="1:32" ht="15" thickBot="1" x14ac:dyDescent="0.4">
      <c r="A24" s="57">
        <v>23</v>
      </c>
      <c r="B24" t="s">
        <v>222</v>
      </c>
      <c r="C24" s="57">
        <v>76</v>
      </c>
      <c r="D24" s="57">
        <v>29</v>
      </c>
      <c r="E24" s="57">
        <v>47</v>
      </c>
      <c r="F24" s="58">
        <v>0.38200000000000001</v>
      </c>
      <c r="G24" s="57">
        <v>48.3</v>
      </c>
      <c r="H24" s="57">
        <v>111.1</v>
      </c>
      <c r="I24">
        <v>41</v>
      </c>
      <c r="J24">
        <v>89.6</v>
      </c>
      <c r="K24" s="57">
        <v>45.7</v>
      </c>
      <c r="L24">
        <v>13.5</v>
      </c>
      <c r="M24">
        <v>37.1</v>
      </c>
      <c r="N24" s="57">
        <v>36.5</v>
      </c>
      <c r="O24" s="57">
        <v>15.7</v>
      </c>
      <c r="P24" s="57">
        <v>20.8</v>
      </c>
      <c r="Q24" s="57">
        <v>75.5</v>
      </c>
      <c r="R24">
        <v>11.5</v>
      </c>
      <c r="S24">
        <v>32.299999999999997</v>
      </c>
      <c r="T24">
        <v>43.8</v>
      </c>
      <c r="U24">
        <v>26</v>
      </c>
      <c r="V24">
        <v>13</v>
      </c>
      <c r="W24">
        <v>7</v>
      </c>
      <c r="X24">
        <v>5</v>
      </c>
      <c r="Y24">
        <v>4.9000000000000004</v>
      </c>
      <c r="Z24">
        <v>18.8</v>
      </c>
      <c r="AA24" s="57">
        <v>18.2</v>
      </c>
      <c r="AB24" s="57">
        <v>-2.6</v>
      </c>
      <c r="AC24" s="63">
        <v>0</v>
      </c>
      <c r="AD24">
        <v>41</v>
      </c>
      <c r="AE24">
        <f>FGM!B$17+FGM!B$18*NBAQ1!AD24</f>
        <v>0.39364356595030259</v>
      </c>
      <c r="AF24" s="17">
        <f t="shared" si="0"/>
        <v>0.5971595050586268</v>
      </c>
    </row>
    <row r="25" spans="1:32" ht="15" thickBot="1" x14ac:dyDescent="0.4">
      <c r="A25" s="57">
        <v>24</v>
      </c>
      <c r="B25" t="s">
        <v>221</v>
      </c>
      <c r="C25" s="57">
        <v>75</v>
      </c>
      <c r="D25" s="57">
        <v>25</v>
      </c>
      <c r="E25" s="57">
        <v>50</v>
      </c>
      <c r="F25" s="58">
        <v>0.33300000000000002</v>
      </c>
      <c r="G25" s="57">
        <v>48.3</v>
      </c>
      <c r="H25" s="57">
        <v>105.9</v>
      </c>
      <c r="I25">
        <v>38.200000000000003</v>
      </c>
      <c r="J25">
        <v>87.7</v>
      </c>
      <c r="K25" s="57">
        <v>43.5</v>
      </c>
      <c r="L25">
        <v>13.3</v>
      </c>
      <c r="M25">
        <v>38.4</v>
      </c>
      <c r="N25" s="57">
        <v>34.700000000000003</v>
      </c>
      <c r="O25" s="57">
        <v>16.2</v>
      </c>
      <c r="P25" s="57">
        <v>21.3</v>
      </c>
      <c r="Q25" s="57">
        <v>76.2</v>
      </c>
      <c r="R25">
        <v>10.6</v>
      </c>
      <c r="S25">
        <v>31.7</v>
      </c>
      <c r="T25">
        <v>42.3</v>
      </c>
      <c r="U25">
        <v>25</v>
      </c>
      <c r="V25">
        <v>15.1</v>
      </c>
      <c r="W25">
        <v>8</v>
      </c>
      <c r="X25">
        <v>6.2</v>
      </c>
      <c r="Y25">
        <v>6.4</v>
      </c>
      <c r="Z25">
        <v>19.2</v>
      </c>
      <c r="AA25" s="57">
        <v>19</v>
      </c>
      <c r="AB25" s="57">
        <v>-7.2</v>
      </c>
      <c r="AC25" s="63">
        <v>0</v>
      </c>
      <c r="AD25">
        <v>38.200000000000003</v>
      </c>
      <c r="AE25">
        <f>FGM!B$17+FGM!B$18*NBAQ1!AD25</f>
        <v>7.0394517460645289E-2</v>
      </c>
      <c r="AF25" s="17">
        <f t="shared" si="0"/>
        <v>0.51759136562807617</v>
      </c>
    </row>
    <row r="26" spans="1:32" ht="15" thickBot="1" x14ac:dyDescent="0.4">
      <c r="A26" s="57">
        <v>25</v>
      </c>
      <c r="B26" t="s">
        <v>220</v>
      </c>
      <c r="C26" s="57">
        <v>74</v>
      </c>
      <c r="D26" s="57">
        <v>23</v>
      </c>
      <c r="E26" s="57">
        <v>51</v>
      </c>
      <c r="F26" s="58">
        <v>0.311</v>
      </c>
      <c r="G26" s="57">
        <v>48.3</v>
      </c>
      <c r="H26" s="57">
        <v>112.7</v>
      </c>
      <c r="I26">
        <v>42.5</v>
      </c>
      <c r="J26">
        <v>89.8</v>
      </c>
      <c r="K26" s="57">
        <v>47.4</v>
      </c>
      <c r="L26">
        <v>11.6</v>
      </c>
      <c r="M26">
        <v>33.200000000000003</v>
      </c>
      <c r="N26" s="57">
        <v>35</v>
      </c>
      <c r="O26" s="57">
        <v>16</v>
      </c>
      <c r="P26" s="57">
        <v>21.3</v>
      </c>
      <c r="Q26" s="57">
        <v>74.900000000000006</v>
      </c>
      <c r="R26">
        <v>10.9</v>
      </c>
      <c r="S26">
        <v>31.6</v>
      </c>
      <c r="T26">
        <v>42.5</v>
      </c>
      <c r="U26">
        <v>29</v>
      </c>
      <c r="V26">
        <v>13.7</v>
      </c>
      <c r="W26">
        <v>7.8</v>
      </c>
      <c r="X26">
        <v>4.8</v>
      </c>
      <c r="Y26">
        <v>5.5</v>
      </c>
      <c r="Z26">
        <v>18.2</v>
      </c>
      <c r="AA26" s="57">
        <v>18.100000000000001</v>
      </c>
      <c r="AB26" s="57">
        <v>-5.7</v>
      </c>
      <c r="AC26" s="63">
        <v>0</v>
      </c>
      <c r="AD26">
        <v>42.5</v>
      </c>
      <c r="AE26">
        <f>FGM!B$17+FGM!B$18*NBAQ1!AD26</f>
        <v>0.56681269906976173</v>
      </c>
      <c r="AF26" s="17">
        <f t="shared" si="0"/>
        <v>0.63802739729606694</v>
      </c>
    </row>
    <row r="27" spans="1:32" ht="15" thickBot="1" x14ac:dyDescent="0.4">
      <c r="A27" s="57">
        <v>26</v>
      </c>
      <c r="B27" t="s">
        <v>219</v>
      </c>
      <c r="C27" s="57">
        <v>75</v>
      </c>
      <c r="D27" s="57">
        <v>19</v>
      </c>
      <c r="E27" s="57">
        <v>56</v>
      </c>
      <c r="F27" s="58">
        <v>0.253</v>
      </c>
      <c r="G27" s="57">
        <v>48.5</v>
      </c>
      <c r="H27" s="57">
        <v>107.2</v>
      </c>
      <c r="I27">
        <v>39.5</v>
      </c>
      <c r="J27">
        <v>89.2</v>
      </c>
      <c r="K27" s="57">
        <v>44.3</v>
      </c>
      <c r="L27">
        <v>11.6</v>
      </c>
      <c r="M27">
        <v>33</v>
      </c>
      <c r="N27" s="57">
        <v>35.1</v>
      </c>
      <c r="O27" s="57">
        <v>16.5</v>
      </c>
      <c r="P27" s="57">
        <v>20.8</v>
      </c>
      <c r="Q27" s="57">
        <v>79.2</v>
      </c>
      <c r="R27">
        <v>12.2</v>
      </c>
      <c r="S27">
        <v>29.8</v>
      </c>
      <c r="T27">
        <v>41.9</v>
      </c>
      <c r="U27">
        <v>23.1</v>
      </c>
      <c r="V27">
        <v>15.3</v>
      </c>
      <c r="W27">
        <v>7.7</v>
      </c>
      <c r="X27">
        <v>4.4000000000000004</v>
      </c>
      <c r="Y27">
        <v>6.4</v>
      </c>
      <c r="Z27">
        <v>20.399999999999999</v>
      </c>
      <c r="AA27" s="57">
        <v>18</v>
      </c>
      <c r="AB27" s="57">
        <v>-8.9</v>
      </c>
      <c r="AC27" s="63">
        <v>0</v>
      </c>
      <c r="AD27">
        <v>39.5</v>
      </c>
      <c r="AE27">
        <f>FGM!B$17+FGM!B$18*NBAQ1!AD27</f>
        <v>0.22047443283084345</v>
      </c>
      <c r="AF27" s="17">
        <f t="shared" si="0"/>
        <v>0.55489641660604638</v>
      </c>
    </row>
    <row r="28" spans="1:32" ht="15" thickBot="1" x14ac:dyDescent="0.4">
      <c r="A28" s="57">
        <v>27</v>
      </c>
      <c r="B28" t="s">
        <v>218</v>
      </c>
      <c r="C28" s="57">
        <v>75</v>
      </c>
      <c r="D28" s="57">
        <v>18</v>
      </c>
      <c r="E28" s="57">
        <v>57</v>
      </c>
      <c r="F28" s="58">
        <v>0.24</v>
      </c>
      <c r="G28" s="57">
        <v>48.1</v>
      </c>
      <c r="H28" s="57">
        <v>106.3</v>
      </c>
      <c r="I28">
        <v>40.1</v>
      </c>
      <c r="J28">
        <v>87.5</v>
      </c>
      <c r="K28" s="57">
        <v>45.8</v>
      </c>
      <c r="L28">
        <v>11.9</v>
      </c>
      <c r="M28">
        <v>33.9</v>
      </c>
      <c r="N28" s="57">
        <v>35.1</v>
      </c>
      <c r="O28" s="57">
        <v>14.3</v>
      </c>
      <c r="P28" s="57">
        <v>18.399999999999999</v>
      </c>
      <c r="Q28" s="57">
        <v>77.900000000000006</v>
      </c>
      <c r="R28">
        <v>9.6999999999999993</v>
      </c>
      <c r="S28">
        <v>30.9</v>
      </c>
      <c r="T28">
        <v>40.6</v>
      </c>
      <c r="U28">
        <v>24.6</v>
      </c>
      <c r="V28">
        <v>13.7</v>
      </c>
      <c r="W28">
        <v>6.7</v>
      </c>
      <c r="X28">
        <v>4.4000000000000004</v>
      </c>
      <c r="Y28">
        <v>5</v>
      </c>
      <c r="Z28">
        <v>18.100000000000001</v>
      </c>
      <c r="AA28" s="57">
        <v>17.5</v>
      </c>
      <c r="AB28" s="57">
        <v>-10.6</v>
      </c>
      <c r="AC28" s="63">
        <v>0</v>
      </c>
      <c r="AD28">
        <v>40.1</v>
      </c>
      <c r="AE28">
        <f>FGM!B$17+FGM!B$18*NBAQ1!AD28</f>
        <v>0.28974208607862728</v>
      </c>
      <c r="AF28" s="17">
        <f t="shared" si="0"/>
        <v>0.57193299016119059</v>
      </c>
    </row>
    <row r="29" spans="1:32" ht="15" thickBot="1" x14ac:dyDescent="0.4">
      <c r="A29" s="57">
        <v>27</v>
      </c>
      <c r="B29" t="s">
        <v>217</v>
      </c>
      <c r="C29" s="57">
        <v>75</v>
      </c>
      <c r="D29" s="57">
        <v>18</v>
      </c>
      <c r="E29" s="57">
        <v>57</v>
      </c>
      <c r="F29" s="58">
        <v>0.24</v>
      </c>
      <c r="G29" s="57">
        <v>48.3</v>
      </c>
      <c r="H29" s="57">
        <v>112.2</v>
      </c>
      <c r="I29">
        <v>41.9</v>
      </c>
      <c r="J29">
        <v>90.5</v>
      </c>
      <c r="K29" s="57">
        <v>46.3</v>
      </c>
      <c r="L29">
        <v>12.5</v>
      </c>
      <c r="M29">
        <v>36</v>
      </c>
      <c r="N29" s="57">
        <v>34.799999999999997</v>
      </c>
      <c r="O29" s="57">
        <v>15.9</v>
      </c>
      <c r="P29" s="57">
        <v>20.2</v>
      </c>
      <c r="Q29" s="57">
        <v>78.400000000000006</v>
      </c>
      <c r="R29">
        <v>10.4</v>
      </c>
      <c r="S29">
        <v>33.299999999999997</v>
      </c>
      <c r="T29">
        <v>43.7</v>
      </c>
      <c r="U29">
        <v>29.8</v>
      </c>
      <c r="V29">
        <v>15</v>
      </c>
      <c r="W29">
        <v>7.2</v>
      </c>
      <c r="X29">
        <v>6.2</v>
      </c>
      <c r="Y29">
        <v>4.5999999999999996</v>
      </c>
      <c r="Z29">
        <v>17.5</v>
      </c>
      <c r="AA29" s="57">
        <v>18.100000000000001</v>
      </c>
      <c r="AB29" s="57">
        <v>-7</v>
      </c>
      <c r="AC29" s="63">
        <v>0</v>
      </c>
      <c r="AD29">
        <v>41.9</v>
      </c>
      <c r="AE29">
        <f>FGM!B$17+FGM!B$18*NBAQ1!AD29</f>
        <v>0.49754504582197789</v>
      </c>
      <c r="AF29" s="17">
        <f t="shared" si="0"/>
        <v>0.62188223465285497</v>
      </c>
    </row>
    <row r="30" spans="1:32" ht="15" thickBot="1" x14ac:dyDescent="0.4">
      <c r="A30" s="57">
        <v>29</v>
      </c>
      <c r="B30" t="s">
        <v>216</v>
      </c>
      <c r="C30" s="57">
        <v>75</v>
      </c>
      <c r="D30" s="57">
        <v>14</v>
      </c>
      <c r="E30" s="57">
        <v>61</v>
      </c>
      <c r="F30" s="58">
        <v>0.187</v>
      </c>
      <c r="G30" s="57">
        <v>48.1</v>
      </c>
      <c r="H30" s="57">
        <v>113.3</v>
      </c>
      <c r="I30">
        <v>42.8</v>
      </c>
      <c r="J30">
        <v>91.4</v>
      </c>
      <c r="K30" s="57">
        <v>46.9</v>
      </c>
      <c r="L30">
        <v>12.2</v>
      </c>
      <c r="M30">
        <v>35.200000000000003</v>
      </c>
      <c r="N30" s="57">
        <v>34.700000000000003</v>
      </c>
      <c r="O30" s="57">
        <v>15.4</v>
      </c>
      <c r="P30" s="57">
        <v>20.100000000000001</v>
      </c>
      <c r="Q30" s="57">
        <v>76.400000000000006</v>
      </c>
      <c r="R30">
        <v>9.4</v>
      </c>
      <c r="S30">
        <v>31.7</v>
      </c>
      <c r="T30">
        <v>41.1</v>
      </c>
      <c r="U30">
        <v>27.9</v>
      </c>
      <c r="V30">
        <v>14.1</v>
      </c>
      <c r="W30">
        <v>7.5</v>
      </c>
      <c r="X30">
        <v>5.0999999999999996</v>
      </c>
      <c r="Y30">
        <v>6</v>
      </c>
      <c r="Z30">
        <v>19.899999999999999</v>
      </c>
      <c r="AA30" s="57">
        <v>17.899999999999999</v>
      </c>
      <c r="AB30" s="57">
        <v>-9.6999999999999993</v>
      </c>
      <c r="AC30" s="63">
        <v>0</v>
      </c>
      <c r="AD30">
        <v>42.8</v>
      </c>
      <c r="AE30">
        <f>FGM!B$17+FGM!B$18*NBAQ1!AD30</f>
        <v>0.6014465256936532</v>
      </c>
      <c r="AF30" s="17">
        <f t="shared" si="0"/>
        <v>0.64598717873684608</v>
      </c>
    </row>
    <row r="31" spans="1:32" x14ac:dyDescent="0.35">
      <c r="A31" s="57">
        <v>30</v>
      </c>
      <c r="B31" t="s">
        <v>215</v>
      </c>
      <c r="C31" s="57">
        <v>75</v>
      </c>
      <c r="D31" s="57">
        <v>13</v>
      </c>
      <c r="E31" s="57">
        <v>62</v>
      </c>
      <c r="F31" s="58">
        <v>0.17299999999999999</v>
      </c>
      <c r="G31" s="57">
        <v>48.2</v>
      </c>
      <c r="H31" s="57">
        <v>110.6</v>
      </c>
      <c r="I31">
        <v>41.1</v>
      </c>
      <c r="J31">
        <v>88.3</v>
      </c>
      <c r="K31" s="57">
        <v>46.5</v>
      </c>
      <c r="L31">
        <v>11</v>
      </c>
      <c r="M31">
        <v>31.7</v>
      </c>
      <c r="N31" s="57">
        <v>34.799999999999997</v>
      </c>
      <c r="O31" s="57">
        <v>17.399999999999999</v>
      </c>
      <c r="P31" s="57">
        <v>22.1</v>
      </c>
      <c r="Q31" s="57">
        <v>78.8</v>
      </c>
      <c r="R31">
        <v>10.7</v>
      </c>
      <c r="S31">
        <v>33.1</v>
      </c>
      <c r="T31">
        <v>43.8</v>
      </c>
      <c r="U31">
        <v>25.7</v>
      </c>
      <c r="V31">
        <v>15.4</v>
      </c>
      <c r="W31">
        <v>6.3</v>
      </c>
      <c r="X31">
        <v>4.8</v>
      </c>
      <c r="Y31">
        <v>6</v>
      </c>
      <c r="Z31">
        <v>21.2</v>
      </c>
      <c r="AA31" s="57">
        <v>18.100000000000001</v>
      </c>
      <c r="AB31" s="56">
        <v>-8.8000000000000007</v>
      </c>
      <c r="AC31" s="63">
        <v>0</v>
      </c>
      <c r="AD31">
        <v>41.1</v>
      </c>
      <c r="AE31">
        <f>FGM!B$17+FGM!B$18*NBAQ1!AD31</f>
        <v>0.40518817482493308</v>
      </c>
      <c r="AF31" s="17">
        <f t="shared" si="0"/>
        <v>0.5999335341717893</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64C0-47AC-455C-B96C-BB183E9F0FCC}">
  <sheetPr codeName="Sheet14">
    <tabColor rgb="FF00B050"/>
  </sheetPr>
  <dimension ref="A1:AW31"/>
  <sheetViews>
    <sheetView topLeftCell="AE1" zoomScale="94" zoomScaleNormal="115" workbookViewId="0">
      <selection activeCell="AV14" sqref="AV14"/>
    </sheetView>
  </sheetViews>
  <sheetFormatPr defaultRowHeight="14.5" x14ac:dyDescent="0.35"/>
  <cols>
    <col min="2" max="2" width="21" customWidth="1"/>
    <col min="6" max="6" width="8.7265625" style="1"/>
    <col min="30" max="30" width="8.90625" customWidth="1"/>
    <col min="36" max="36" width="10.26953125" bestFit="1" customWidth="1"/>
  </cols>
  <sheetData>
    <row r="1" spans="1:49" ht="15" thickBot="1" x14ac:dyDescent="0.4">
      <c r="A1" s="59"/>
      <c r="B1" s="61" t="s">
        <v>272</v>
      </c>
      <c r="C1" s="59" t="s">
        <v>271</v>
      </c>
      <c r="D1" s="59" t="s">
        <v>270</v>
      </c>
      <c r="E1" s="59" t="s">
        <v>269</v>
      </c>
      <c r="F1" s="60" t="s">
        <v>268</v>
      </c>
      <c r="G1" s="59" t="s">
        <v>267</v>
      </c>
      <c r="H1" s="59" t="s">
        <v>266</v>
      </c>
      <c r="I1" s="59" t="s">
        <v>265</v>
      </c>
      <c r="J1" s="59" t="s">
        <v>264</v>
      </c>
      <c r="K1" s="59" t="s">
        <v>246</v>
      </c>
      <c r="L1" s="59" t="s">
        <v>263</v>
      </c>
      <c r="M1" s="59" t="s">
        <v>262</v>
      </c>
      <c r="N1" s="59" t="s">
        <v>261</v>
      </c>
      <c r="O1" s="59" t="s">
        <v>260</v>
      </c>
      <c r="P1" s="59" t="s">
        <v>259</v>
      </c>
      <c r="Q1" s="59" t="s">
        <v>258</v>
      </c>
      <c r="R1" s="59" t="s">
        <v>257</v>
      </c>
      <c r="S1" s="59" t="s">
        <v>256</v>
      </c>
      <c r="T1" s="59" t="s">
        <v>255</v>
      </c>
      <c r="U1" s="59" t="s">
        <v>254</v>
      </c>
      <c r="V1" s="59" t="s">
        <v>253</v>
      </c>
      <c r="W1" s="59" t="s">
        <v>252</v>
      </c>
      <c r="X1" s="59" t="s">
        <v>251</v>
      </c>
      <c r="Y1" s="59" t="s">
        <v>250</v>
      </c>
      <c r="Z1" s="59" t="s">
        <v>249</v>
      </c>
      <c r="AA1" s="59" t="s">
        <v>248</v>
      </c>
      <c r="AB1" s="59" t="s">
        <v>247</v>
      </c>
      <c r="AC1" s="59" t="s">
        <v>246</v>
      </c>
      <c r="AD1" s="62" t="s">
        <v>245</v>
      </c>
      <c r="AE1" s="59" t="s">
        <v>246</v>
      </c>
      <c r="AF1" s="59" t="s">
        <v>263</v>
      </c>
      <c r="AG1" t="s">
        <v>297</v>
      </c>
      <c r="AH1" t="s">
        <v>299</v>
      </c>
      <c r="AI1" s="59"/>
      <c r="AJ1" s="21" t="s">
        <v>284</v>
      </c>
      <c r="AK1">
        <v>-5.6392191497401605</v>
      </c>
      <c r="AM1" t="s">
        <v>300</v>
      </c>
      <c r="AN1" t="s">
        <v>301</v>
      </c>
      <c r="AO1" t="s">
        <v>302</v>
      </c>
      <c r="AP1">
        <v>0.6</v>
      </c>
      <c r="AQ1">
        <f>AP1/AP2</f>
        <v>1.4999999999999998</v>
      </c>
      <c r="AS1" s="21" t="s">
        <v>284</v>
      </c>
      <c r="AT1">
        <v>-5.6392191497401605</v>
      </c>
    </row>
    <row r="2" spans="1:49" ht="15" thickBot="1" x14ac:dyDescent="0.4">
      <c r="A2" s="57">
        <v>1</v>
      </c>
      <c r="B2" t="s">
        <v>244</v>
      </c>
      <c r="C2" s="57">
        <v>75</v>
      </c>
      <c r="D2" s="57">
        <v>59</v>
      </c>
      <c r="E2" s="57">
        <v>16</v>
      </c>
      <c r="F2" s="58">
        <v>0.78700000000000003</v>
      </c>
      <c r="G2" s="57">
        <v>48.4</v>
      </c>
      <c r="H2" s="57">
        <v>120.9</v>
      </c>
      <c r="I2">
        <v>43.8</v>
      </c>
      <c r="J2">
        <v>90.1</v>
      </c>
      <c r="K2" s="57">
        <v>11.4</v>
      </c>
      <c r="L2" s="57">
        <v>48.6</v>
      </c>
      <c r="M2">
        <v>16.600000000000001</v>
      </c>
      <c r="N2">
        <v>42.6</v>
      </c>
      <c r="O2" s="57">
        <v>38.9</v>
      </c>
      <c r="P2" s="57">
        <v>16.8</v>
      </c>
      <c r="Q2" s="57">
        <v>20.7</v>
      </c>
      <c r="R2" s="57">
        <v>80.900000000000006</v>
      </c>
      <c r="S2">
        <v>10.7</v>
      </c>
      <c r="T2">
        <v>35.799999999999997</v>
      </c>
      <c r="U2">
        <v>46.5</v>
      </c>
      <c r="V2">
        <v>26.7</v>
      </c>
      <c r="W2">
        <v>12</v>
      </c>
      <c r="X2">
        <v>6.6</v>
      </c>
      <c r="Y2">
        <v>6.5</v>
      </c>
      <c r="Z2">
        <v>3.7</v>
      </c>
      <c r="AA2">
        <v>16.399999999999999</v>
      </c>
      <c r="AB2" s="57">
        <v>17.7</v>
      </c>
      <c r="AC2" s="57">
        <v>11.4</v>
      </c>
      <c r="AD2" s="63">
        <v>1</v>
      </c>
      <c r="AE2" s="57">
        <v>11.4</v>
      </c>
      <c r="AF2" s="57">
        <v>48.6</v>
      </c>
      <c r="AG2">
        <f>AK$1+AE2*AK$2+AF2*AK$3</f>
        <v>1.1693456774145456</v>
      </c>
      <c r="AH2" s="17">
        <f>1/(1+EXP(-AG2))</f>
        <v>0.76302672348021872</v>
      </c>
      <c r="AJ2" s="71" t="s">
        <v>246</v>
      </c>
      <c r="AK2">
        <v>4.3173771425781438E-2</v>
      </c>
      <c r="AO2" t="s">
        <v>303</v>
      </c>
      <c r="AP2">
        <f>1-AP1</f>
        <v>0.4</v>
      </c>
      <c r="AS2" s="71" t="s">
        <v>246</v>
      </c>
      <c r="AT2">
        <v>4.3173771425781438E-2</v>
      </c>
    </row>
    <row r="3" spans="1:49" ht="15" thickBot="1" x14ac:dyDescent="0.4">
      <c r="A3" s="57">
        <v>2</v>
      </c>
      <c r="B3" t="s">
        <v>243</v>
      </c>
      <c r="C3" s="57">
        <v>74</v>
      </c>
      <c r="D3" s="57">
        <v>52</v>
      </c>
      <c r="E3" s="57">
        <v>22</v>
      </c>
      <c r="F3" s="58">
        <v>0.70299999999999996</v>
      </c>
      <c r="G3" s="57">
        <v>48.3</v>
      </c>
      <c r="H3" s="57">
        <v>120.4</v>
      </c>
      <c r="I3">
        <v>44.7</v>
      </c>
      <c r="J3">
        <v>89.4</v>
      </c>
      <c r="K3" s="57">
        <v>7.4</v>
      </c>
      <c r="L3" s="57">
        <v>50</v>
      </c>
      <c r="M3">
        <v>13.4</v>
      </c>
      <c r="N3">
        <v>34.299999999999997</v>
      </c>
      <c r="O3" s="57">
        <v>39.1</v>
      </c>
      <c r="P3" s="57">
        <v>17.600000000000001</v>
      </c>
      <c r="Q3" s="57">
        <v>21.4</v>
      </c>
      <c r="R3" s="57">
        <v>82.5</v>
      </c>
      <c r="S3">
        <v>8.8000000000000007</v>
      </c>
      <c r="T3">
        <v>33</v>
      </c>
      <c r="U3">
        <v>41.9</v>
      </c>
      <c r="V3">
        <v>26.9</v>
      </c>
      <c r="W3">
        <v>12.5</v>
      </c>
      <c r="X3">
        <v>8.3000000000000007</v>
      </c>
      <c r="Y3">
        <v>6.6</v>
      </c>
      <c r="Z3">
        <v>5.0999999999999996</v>
      </c>
      <c r="AA3">
        <v>19.2</v>
      </c>
      <c r="AB3" s="57">
        <v>19</v>
      </c>
      <c r="AC3" s="57">
        <v>7.4</v>
      </c>
      <c r="AD3" s="63">
        <v>1</v>
      </c>
      <c r="AE3" s="57">
        <v>7.4</v>
      </c>
      <c r="AF3" s="57">
        <v>50</v>
      </c>
      <c r="AG3">
        <f t="shared" ref="AG3:AG31" si="0">AK$1+AE3*AK$2+AF3*AK$3</f>
        <v>1.1786040354575329</v>
      </c>
      <c r="AH3" s="17">
        <f t="shared" ref="AH3:AH31" si="1">1/(1+EXP(-AG3))</f>
        <v>0.7646967127968135</v>
      </c>
      <c r="AJ3" s="67" t="s">
        <v>263</v>
      </c>
      <c r="AK3">
        <v>0.12996674553293822</v>
      </c>
      <c r="AS3" s="67" t="s">
        <v>263</v>
      </c>
      <c r="AT3">
        <v>0.12996674553293822</v>
      </c>
    </row>
    <row r="4" spans="1:49" ht="15" thickBot="1" x14ac:dyDescent="0.4">
      <c r="A4" s="57">
        <v>3</v>
      </c>
      <c r="B4" t="s">
        <v>242</v>
      </c>
      <c r="C4" s="57">
        <v>75</v>
      </c>
      <c r="D4" s="57">
        <v>52</v>
      </c>
      <c r="E4" s="57">
        <v>23</v>
      </c>
      <c r="F4" s="58">
        <v>0.69299999999999995</v>
      </c>
      <c r="G4" s="57">
        <v>48.1</v>
      </c>
      <c r="H4" s="57">
        <v>114.6</v>
      </c>
      <c r="I4">
        <v>43.9</v>
      </c>
      <c r="J4">
        <v>88.6</v>
      </c>
      <c r="K4" s="57">
        <v>4.8</v>
      </c>
      <c r="L4" s="57">
        <v>49.5</v>
      </c>
      <c r="M4">
        <v>11.5</v>
      </c>
      <c r="N4">
        <v>30.9</v>
      </c>
      <c r="O4" s="57">
        <v>37.299999999999997</v>
      </c>
      <c r="P4" s="57">
        <v>15.3</v>
      </c>
      <c r="Q4" s="57">
        <v>20</v>
      </c>
      <c r="R4" s="57">
        <v>76.5</v>
      </c>
      <c r="S4">
        <v>10.8</v>
      </c>
      <c r="T4">
        <v>33.4</v>
      </c>
      <c r="U4">
        <v>44.3</v>
      </c>
      <c r="V4">
        <v>29.3</v>
      </c>
      <c r="W4">
        <v>12.6</v>
      </c>
      <c r="X4">
        <v>7.1</v>
      </c>
      <c r="Y4">
        <v>5.4</v>
      </c>
      <c r="Z4">
        <v>4.9000000000000004</v>
      </c>
      <c r="AA4">
        <v>18.2</v>
      </c>
      <c r="AB4" s="57">
        <v>18</v>
      </c>
      <c r="AC4" s="57">
        <v>4.8</v>
      </c>
      <c r="AD4" s="63">
        <v>1</v>
      </c>
      <c r="AE4" s="57">
        <v>4.8</v>
      </c>
      <c r="AF4" s="57">
        <v>49.5</v>
      </c>
      <c r="AG4">
        <f t="shared" si="0"/>
        <v>1.0013688569840324</v>
      </c>
      <c r="AH4" s="17">
        <f t="shared" si="1"/>
        <v>0.73132762710964783</v>
      </c>
      <c r="AJ4" s="67" t="s">
        <v>297</v>
      </c>
      <c r="AK4" s="69">
        <f>$AK$1+$AK$2*AK5+AK3*AK6</f>
        <v>0.64102211349987392</v>
      </c>
      <c r="AS4" s="67" t="s">
        <v>297</v>
      </c>
      <c r="AT4" s="69">
        <f>$AK$1+$AK$2*AT5+AT3*AT6</f>
        <v>0.770988859032812</v>
      </c>
    </row>
    <row r="5" spans="1:49" ht="15" thickBot="1" x14ac:dyDescent="0.4">
      <c r="A5" s="57">
        <v>4</v>
      </c>
      <c r="B5" t="s">
        <v>241</v>
      </c>
      <c r="C5" s="57">
        <v>74</v>
      </c>
      <c r="D5" s="57">
        <v>51</v>
      </c>
      <c r="E5" s="57">
        <v>23</v>
      </c>
      <c r="F5" s="58">
        <v>0.68899999999999995</v>
      </c>
      <c r="G5" s="57">
        <v>48.3</v>
      </c>
      <c r="H5" s="57">
        <v>112.9</v>
      </c>
      <c r="I5">
        <v>41.2</v>
      </c>
      <c r="J5">
        <v>85.1</v>
      </c>
      <c r="K5" s="57">
        <v>6.6</v>
      </c>
      <c r="L5" s="57">
        <v>48.5</v>
      </c>
      <c r="M5">
        <v>12.6</v>
      </c>
      <c r="N5">
        <v>32.6</v>
      </c>
      <c r="O5" s="57">
        <v>38.6</v>
      </c>
      <c r="P5" s="57">
        <v>17.8</v>
      </c>
      <c r="Q5" s="57">
        <v>22.9</v>
      </c>
      <c r="R5" s="57">
        <v>77.7</v>
      </c>
      <c r="S5">
        <v>9.4</v>
      </c>
      <c r="T5">
        <v>34.4</v>
      </c>
      <c r="U5">
        <v>43.8</v>
      </c>
      <c r="V5">
        <v>26.5</v>
      </c>
      <c r="W5">
        <v>14.1</v>
      </c>
      <c r="X5">
        <v>7.7</v>
      </c>
      <c r="Y5">
        <v>6</v>
      </c>
      <c r="Z5">
        <v>4.5999999999999996</v>
      </c>
      <c r="AA5">
        <v>18.899999999999999</v>
      </c>
      <c r="AB5" s="57">
        <v>19.8</v>
      </c>
      <c r="AC5" s="57">
        <v>6.6</v>
      </c>
      <c r="AD5" s="63">
        <v>1</v>
      </c>
      <c r="AE5" s="57">
        <v>6.6</v>
      </c>
      <c r="AF5" s="57">
        <v>48.5</v>
      </c>
      <c r="AG5">
        <f t="shared" si="0"/>
        <v>0.94911490001750121</v>
      </c>
      <c r="AH5" s="17">
        <f t="shared" si="1"/>
        <v>0.72093714243495133</v>
      </c>
      <c r="AJ5" s="70" t="s">
        <v>246</v>
      </c>
      <c r="AK5" s="42">
        <v>10</v>
      </c>
      <c r="AS5" s="70" t="s">
        <v>246</v>
      </c>
      <c r="AT5" s="42">
        <v>10</v>
      </c>
    </row>
    <row r="6" spans="1:49" ht="15" thickBot="1" x14ac:dyDescent="0.4">
      <c r="A6" s="57">
        <v>5</v>
      </c>
      <c r="B6" t="s">
        <v>240</v>
      </c>
      <c r="C6" s="57">
        <v>74</v>
      </c>
      <c r="D6" s="57">
        <v>47</v>
      </c>
      <c r="E6" s="57">
        <v>27</v>
      </c>
      <c r="F6" s="58">
        <v>0.63500000000000001</v>
      </c>
      <c r="G6" s="57">
        <v>48.1</v>
      </c>
      <c r="H6" s="57">
        <v>116.3</v>
      </c>
      <c r="I6">
        <v>42.5</v>
      </c>
      <c r="J6">
        <v>86.3</v>
      </c>
      <c r="K6" s="57">
        <v>3.6</v>
      </c>
      <c r="L6" s="57">
        <v>49.3</v>
      </c>
      <c r="M6">
        <v>12.8</v>
      </c>
      <c r="N6">
        <v>33.1</v>
      </c>
      <c r="O6" s="57">
        <v>38.700000000000003</v>
      </c>
      <c r="P6" s="57">
        <v>18.399999999999999</v>
      </c>
      <c r="Q6" s="57">
        <v>22.4</v>
      </c>
      <c r="R6" s="57">
        <v>82.2</v>
      </c>
      <c r="S6">
        <v>9.9</v>
      </c>
      <c r="T6">
        <v>32.5</v>
      </c>
      <c r="U6">
        <v>42.4</v>
      </c>
      <c r="V6">
        <v>25.7</v>
      </c>
      <c r="W6">
        <v>13</v>
      </c>
      <c r="X6">
        <v>7.8</v>
      </c>
      <c r="Y6">
        <v>5.2</v>
      </c>
      <c r="Z6">
        <v>4.5999999999999996</v>
      </c>
      <c r="AA6">
        <v>18.5</v>
      </c>
      <c r="AB6" s="57">
        <v>19.100000000000001</v>
      </c>
      <c r="AC6" s="57">
        <v>3.6</v>
      </c>
      <c r="AD6" s="63">
        <v>1</v>
      </c>
      <c r="AE6" s="57">
        <v>3.6</v>
      </c>
      <c r="AF6" s="57">
        <v>49.3</v>
      </c>
      <c r="AG6">
        <f t="shared" si="0"/>
        <v>0.92356698216650557</v>
      </c>
      <c r="AH6" s="17">
        <f t="shared" si="1"/>
        <v>0.71576834507091269</v>
      </c>
      <c r="AJ6" s="72" t="s">
        <v>263</v>
      </c>
      <c r="AK6" s="30">
        <v>45</v>
      </c>
      <c r="AS6" s="72" t="s">
        <v>263</v>
      </c>
      <c r="AT6" s="30">
        <v>46</v>
      </c>
    </row>
    <row r="7" spans="1:49" ht="15" thickBot="1" x14ac:dyDescent="0.4">
      <c r="A7" s="57">
        <v>5</v>
      </c>
      <c r="B7" t="s">
        <v>239</v>
      </c>
      <c r="C7" s="57">
        <v>74</v>
      </c>
      <c r="D7" s="57">
        <v>47</v>
      </c>
      <c r="E7" s="57">
        <v>27</v>
      </c>
      <c r="F7" s="58">
        <v>0.63500000000000001</v>
      </c>
      <c r="G7" s="57">
        <v>48.3</v>
      </c>
      <c r="H7" s="57">
        <v>120.4</v>
      </c>
      <c r="I7">
        <v>43.5</v>
      </c>
      <c r="J7">
        <v>88.7</v>
      </c>
      <c r="K7" s="57">
        <v>3.5</v>
      </c>
      <c r="L7" s="57">
        <v>49.1</v>
      </c>
      <c r="M7">
        <v>14.3</v>
      </c>
      <c r="N7">
        <v>38.1</v>
      </c>
      <c r="O7" s="57">
        <v>37.6</v>
      </c>
      <c r="P7" s="57">
        <v>19</v>
      </c>
      <c r="Q7" s="57">
        <v>24.6</v>
      </c>
      <c r="R7" s="57">
        <v>77.2</v>
      </c>
      <c r="S7">
        <v>9.3000000000000007</v>
      </c>
      <c r="T7">
        <v>34.9</v>
      </c>
      <c r="U7">
        <v>44.2</v>
      </c>
      <c r="V7">
        <v>26.6</v>
      </c>
      <c r="W7">
        <v>12.7</v>
      </c>
      <c r="X7">
        <v>6.8</v>
      </c>
      <c r="Y7">
        <v>5</v>
      </c>
      <c r="Z7">
        <v>4.2</v>
      </c>
      <c r="AA7">
        <v>19.5</v>
      </c>
      <c r="AB7" s="57">
        <v>19.600000000000001</v>
      </c>
      <c r="AC7" s="57">
        <v>3.5</v>
      </c>
      <c r="AD7" s="63">
        <v>1</v>
      </c>
      <c r="AE7" s="57">
        <v>3.5</v>
      </c>
      <c r="AF7" s="57">
        <v>49.1</v>
      </c>
      <c r="AG7">
        <f t="shared" si="0"/>
        <v>0.8932562559173407</v>
      </c>
      <c r="AH7" s="17">
        <f t="shared" si="1"/>
        <v>0.70956169211835685</v>
      </c>
      <c r="AJ7" t="s">
        <v>304</v>
      </c>
      <c r="AK7">
        <f>1/(1+EXP(-AK4))</f>
        <v>0.6549844741987868</v>
      </c>
      <c r="AL7" t="s">
        <v>305</v>
      </c>
      <c r="AS7" t="s">
        <v>304</v>
      </c>
      <c r="AT7">
        <f>1/(1+EXP(-AT4))</f>
        <v>0.68373476497296004</v>
      </c>
    </row>
    <row r="8" spans="1:49" ht="15" thickBot="1" x14ac:dyDescent="0.4">
      <c r="A8" s="57">
        <v>7</v>
      </c>
      <c r="B8" t="s">
        <v>238</v>
      </c>
      <c r="C8" s="57">
        <v>74</v>
      </c>
      <c r="D8" s="57">
        <v>45</v>
      </c>
      <c r="E8" s="57">
        <v>29</v>
      </c>
      <c r="F8" s="58">
        <v>0.60799999999999998</v>
      </c>
      <c r="G8" s="57">
        <v>48</v>
      </c>
      <c r="H8" s="57">
        <v>118.7</v>
      </c>
      <c r="I8">
        <v>43.4</v>
      </c>
      <c r="J8">
        <v>89.7</v>
      </c>
      <c r="K8" s="57">
        <v>2.4</v>
      </c>
      <c r="L8" s="57">
        <v>48.4</v>
      </c>
      <c r="M8">
        <v>14.7</v>
      </c>
      <c r="N8">
        <v>39.4</v>
      </c>
      <c r="O8" s="57">
        <v>37.299999999999997</v>
      </c>
      <c r="P8" s="57">
        <v>17.2</v>
      </c>
      <c r="Q8" s="57">
        <v>22.8</v>
      </c>
      <c r="R8" s="57">
        <v>75.5</v>
      </c>
      <c r="S8">
        <v>9.6999999999999993</v>
      </c>
      <c r="T8">
        <v>32.9</v>
      </c>
      <c r="U8">
        <v>42.6</v>
      </c>
      <c r="V8">
        <v>25.8</v>
      </c>
      <c r="W8">
        <v>12.2</v>
      </c>
      <c r="X8">
        <v>6.9</v>
      </c>
      <c r="Y8">
        <v>4.8</v>
      </c>
      <c r="Z8">
        <v>4</v>
      </c>
      <c r="AA8">
        <v>18.5</v>
      </c>
      <c r="AB8" s="57">
        <v>20.5</v>
      </c>
      <c r="AC8" s="57">
        <v>2.4</v>
      </c>
      <c r="AD8" s="63">
        <v>1</v>
      </c>
      <c r="AE8" s="57">
        <v>2.4</v>
      </c>
      <c r="AF8" s="57">
        <v>48.4</v>
      </c>
      <c r="AG8">
        <f t="shared" si="0"/>
        <v>0.75478838547592453</v>
      </c>
      <c r="AH8" s="17">
        <f t="shared" si="1"/>
        <v>0.68022116799299792</v>
      </c>
    </row>
    <row r="9" spans="1:49" ht="15" thickBot="1" x14ac:dyDescent="0.4">
      <c r="A9" s="57">
        <v>8</v>
      </c>
      <c r="B9" t="s">
        <v>237</v>
      </c>
      <c r="C9" s="57">
        <v>75</v>
      </c>
      <c r="D9" s="57">
        <v>45</v>
      </c>
      <c r="E9" s="57">
        <v>30</v>
      </c>
      <c r="F9" s="58">
        <v>0.6</v>
      </c>
      <c r="G9" s="57">
        <v>48.3</v>
      </c>
      <c r="H9" s="57">
        <v>112.6</v>
      </c>
      <c r="I9">
        <v>41.7</v>
      </c>
      <c r="J9">
        <v>87.1</v>
      </c>
      <c r="K9" s="57">
        <v>2.8</v>
      </c>
      <c r="L9" s="57">
        <v>47.9</v>
      </c>
      <c r="M9">
        <v>13.6</v>
      </c>
      <c r="N9">
        <v>37.1</v>
      </c>
      <c r="O9" s="57">
        <v>36.6</v>
      </c>
      <c r="P9" s="57">
        <v>15.6</v>
      </c>
      <c r="Q9" s="57">
        <v>20.399999999999999</v>
      </c>
      <c r="R9" s="57">
        <v>76.400000000000006</v>
      </c>
      <c r="S9">
        <v>9.9</v>
      </c>
      <c r="T9">
        <v>33.700000000000003</v>
      </c>
      <c r="U9">
        <v>43.5</v>
      </c>
      <c r="V9">
        <v>28</v>
      </c>
      <c r="W9">
        <v>13.5</v>
      </c>
      <c r="X9">
        <v>7.2</v>
      </c>
      <c r="Y9">
        <v>4.7</v>
      </c>
      <c r="Z9">
        <v>4.9000000000000004</v>
      </c>
      <c r="AA9">
        <v>17.899999999999999</v>
      </c>
      <c r="AB9" s="57">
        <v>18.899999999999999</v>
      </c>
      <c r="AC9" s="57">
        <v>2.8</v>
      </c>
      <c r="AD9" s="63">
        <v>1</v>
      </c>
      <c r="AE9" s="57">
        <v>2.8</v>
      </c>
      <c r="AF9" s="57">
        <v>47.9</v>
      </c>
      <c r="AG9">
        <f t="shared" si="0"/>
        <v>0.70707452127976822</v>
      </c>
      <c r="AH9" s="17">
        <f t="shared" si="1"/>
        <v>0.66975441400861158</v>
      </c>
      <c r="AJ9" t="s">
        <v>300</v>
      </c>
      <c r="AK9">
        <f>AK7/(1-AK7)</f>
        <v>1.8984202889935096</v>
      </c>
      <c r="AS9" t="s">
        <v>300</v>
      </c>
      <c r="AT9">
        <f>AT7/(1-AT7)</f>
        <v>2.1619030144571605</v>
      </c>
      <c r="AV9">
        <f>AT9/AK9</f>
        <v>1.1387905128233444</v>
      </c>
      <c r="AW9" t="s">
        <v>327</v>
      </c>
    </row>
    <row r="10" spans="1:49" ht="15" thickBot="1" x14ac:dyDescent="0.4">
      <c r="A10" s="57">
        <v>8</v>
      </c>
      <c r="B10" t="s">
        <v>236</v>
      </c>
      <c r="C10" s="57">
        <v>75</v>
      </c>
      <c r="D10" s="57">
        <v>45</v>
      </c>
      <c r="E10" s="57">
        <v>30</v>
      </c>
      <c r="F10" s="58">
        <v>0.6</v>
      </c>
      <c r="G10" s="57">
        <v>48.1</v>
      </c>
      <c r="H10" s="57">
        <v>115.2</v>
      </c>
      <c r="I10">
        <v>42.6</v>
      </c>
      <c r="J10">
        <v>87.6</v>
      </c>
      <c r="K10" s="57">
        <v>4.7</v>
      </c>
      <c r="L10" s="57">
        <v>48.7</v>
      </c>
      <c r="M10">
        <v>12.2</v>
      </c>
      <c r="N10">
        <v>32.299999999999997</v>
      </c>
      <c r="O10" s="57">
        <v>37.9</v>
      </c>
      <c r="P10" s="57">
        <v>17.7</v>
      </c>
      <c r="Q10" s="57">
        <v>23.2</v>
      </c>
      <c r="R10" s="57">
        <v>76.5</v>
      </c>
      <c r="S10">
        <v>10.6</v>
      </c>
      <c r="T10">
        <v>33.799999999999997</v>
      </c>
      <c r="U10">
        <v>44.3</v>
      </c>
      <c r="V10">
        <v>27</v>
      </c>
      <c r="W10">
        <v>13</v>
      </c>
      <c r="X10">
        <v>8.1999999999999993</v>
      </c>
      <c r="Y10">
        <v>4.8</v>
      </c>
      <c r="Z10">
        <v>5.3</v>
      </c>
      <c r="AA10">
        <v>18.600000000000001</v>
      </c>
      <c r="AB10" s="57">
        <v>18.600000000000001</v>
      </c>
      <c r="AC10" s="57">
        <v>4.7</v>
      </c>
      <c r="AD10" s="63">
        <v>1</v>
      </c>
      <c r="AE10" s="57">
        <v>4.7</v>
      </c>
      <c r="AF10" s="57">
        <v>48.7</v>
      </c>
      <c r="AG10">
        <f t="shared" si="0"/>
        <v>0.8930780834151042</v>
      </c>
      <c r="AH10" s="17">
        <f t="shared" si="1"/>
        <v>0.70952497226376909</v>
      </c>
      <c r="AV10">
        <v>1.0441193171895806</v>
      </c>
      <c r="AW10" t="s">
        <v>328</v>
      </c>
    </row>
    <row r="11" spans="1:49" ht="15" thickBot="1" x14ac:dyDescent="0.4">
      <c r="A11" s="57">
        <v>10</v>
      </c>
      <c r="B11" t="s">
        <v>235</v>
      </c>
      <c r="C11" s="57">
        <v>74</v>
      </c>
      <c r="D11" s="57">
        <v>44</v>
      </c>
      <c r="E11" s="57">
        <v>30</v>
      </c>
      <c r="F11" s="58">
        <v>0.59499999999999997</v>
      </c>
      <c r="G11" s="57">
        <v>48.1</v>
      </c>
      <c r="H11" s="57">
        <v>112.6</v>
      </c>
      <c r="I11">
        <v>41.2</v>
      </c>
      <c r="J11">
        <v>89</v>
      </c>
      <c r="K11" s="57">
        <v>4.7</v>
      </c>
      <c r="L11" s="57">
        <v>46.3</v>
      </c>
      <c r="M11">
        <v>13.2</v>
      </c>
      <c r="N11">
        <v>36.200000000000003</v>
      </c>
      <c r="O11" s="57">
        <v>36.5</v>
      </c>
      <c r="P11" s="57">
        <v>17</v>
      </c>
      <c r="Q11" s="57">
        <v>21.9</v>
      </c>
      <c r="R11" s="57">
        <v>78</v>
      </c>
      <c r="S11">
        <v>12.9</v>
      </c>
      <c r="T11">
        <v>32.9</v>
      </c>
      <c r="U11">
        <v>45.8</v>
      </c>
      <c r="V11">
        <v>24.2</v>
      </c>
      <c r="W11">
        <v>13.3</v>
      </c>
      <c r="X11">
        <v>7.4</v>
      </c>
      <c r="Y11">
        <v>4.0999999999999996</v>
      </c>
      <c r="Z11">
        <v>5.2</v>
      </c>
      <c r="AA11">
        <v>17.8</v>
      </c>
      <c r="AB11" s="57">
        <v>19.100000000000001</v>
      </c>
      <c r="AC11" s="57">
        <v>4.7</v>
      </c>
      <c r="AD11" s="63">
        <v>1</v>
      </c>
      <c r="AE11" s="57">
        <v>4.7</v>
      </c>
      <c r="AF11" s="57">
        <v>46.3</v>
      </c>
      <c r="AG11">
        <f t="shared" si="0"/>
        <v>0.58115789413605157</v>
      </c>
      <c r="AH11" s="17">
        <f t="shared" si="1"/>
        <v>0.64133379421846082</v>
      </c>
    </row>
    <row r="12" spans="1:49" ht="15" thickBot="1" x14ac:dyDescent="0.4">
      <c r="A12" s="57">
        <v>11</v>
      </c>
      <c r="B12" t="s">
        <v>234</v>
      </c>
      <c r="C12" s="57">
        <v>75</v>
      </c>
      <c r="D12" s="57">
        <v>44</v>
      </c>
      <c r="E12" s="57">
        <v>31</v>
      </c>
      <c r="F12" s="58">
        <v>0.58699999999999997</v>
      </c>
      <c r="G12" s="57">
        <v>48.3</v>
      </c>
      <c r="H12" s="57">
        <v>110.4</v>
      </c>
      <c r="I12">
        <v>40.4</v>
      </c>
      <c r="J12">
        <v>84.7</v>
      </c>
      <c r="K12" s="57">
        <v>2.2000000000000002</v>
      </c>
      <c r="L12" s="57">
        <v>47.7</v>
      </c>
      <c r="M12">
        <v>11.1</v>
      </c>
      <c r="N12">
        <v>31.3</v>
      </c>
      <c r="O12" s="57">
        <v>35.5</v>
      </c>
      <c r="P12" s="57">
        <v>18.399999999999999</v>
      </c>
      <c r="Q12" s="57">
        <v>24.5</v>
      </c>
      <c r="R12" s="57">
        <v>75.3</v>
      </c>
      <c r="S12">
        <v>10.6</v>
      </c>
      <c r="T12">
        <v>31.9</v>
      </c>
      <c r="U12">
        <v>42.5</v>
      </c>
      <c r="V12">
        <v>24.7</v>
      </c>
      <c r="W12">
        <v>14.9</v>
      </c>
      <c r="X12">
        <v>8.1</v>
      </c>
      <c r="Y12">
        <v>5.3</v>
      </c>
      <c r="Z12">
        <v>4.5999999999999996</v>
      </c>
      <c r="AA12">
        <v>19.899999999999999</v>
      </c>
      <c r="AB12" s="57">
        <v>20.9</v>
      </c>
      <c r="AC12" s="57">
        <v>2.2000000000000002</v>
      </c>
      <c r="AD12" s="63">
        <v>1</v>
      </c>
      <c r="AE12" s="57">
        <v>2.2000000000000002</v>
      </c>
      <c r="AF12" s="57">
        <v>47.7</v>
      </c>
      <c r="AG12">
        <f t="shared" si="0"/>
        <v>0.65517690931771266</v>
      </c>
      <c r="AH12" s="17">
        <f t="shared" si="1"/>
        <v>0.6581761172758821</v>
      </c>
    </row>
    <row r="13" spans="1:49" ht="15" thickBot="1" x14ac:dyDescent="0.4">
      <c r="A13" s="57">
        <v>11</v>
      </c>
      <c r="B13" t="s">
        <v>233</v>
      </c>
      <c r="C13" s="57">
        <v>75</v>
      </c>
      <c r="D13" s="57">
        <v>44</v>
      </c>
      <c r="E13" s="57">
        <v>31</v>
      </c>
      <c r="F13" s="58">
        <v>0.58699999999999997</v>
      </c>
      <c r="G13" s="57">
        <v>48.3</v>
      </c>
      <c r="H13" s="57">
        <v>116.8</v>
      </c>
      <c r="I13">
        <v>42.7</v>
      </c>
      <c r="J13">
        <v>86.2</v>
      </c>
      <c r="K13" s="57">
        <v>2.7</v>
      </c>
      <c r="L13" s="57">
        <v>49.5</v>
      </c>
      <c r="M13">
        <v>12.3</v>
      </c>
      <c r="N13">
        <v>32.4</v>
      </c>
      <c r="O13" s="57">
        <v>38.1</v>
      </c>
      <c r="P13" s="57">
        <v>19</v>
      </c>
      <c r="Q13" s="57">
        <v>23.7</v>
      </c>
      <c r="R13" s="57">
        <v>80.400000000000006</v>
      </c>
      <c r="S13">
        <v>10.3</v>
      </c>
      <c r="T13">
        <v>34.1</v>
      </c>
      <c r="U13">
        <v>44.3</v>
      </c>
      <c r="V13">
        <v>27</v>
      </c>
      <c r="W13">
        <v>14.9</v>
      </c>
      <c r="X13">
        <v>7.2</v>
      </c>
      <c r="Y13">
        <v>6.1</v>
      </c>
      <c r="Z13">
        <v>4.5999999999999996</v>
      </c>
      <c r="AA13">
        <v>18.100000000000001</v>
      </c>
      <c r="AB13" s="57">
        <v>19.8</v>
      </c>
      <c r="AC13" s="57">
        <v>2.7</v>
      </c>
      <c r="AD13" s="63">
        <v>1</v>
      </c>
      <c r="AE13" s="57">
        <v>2.7</v>
      </c>
      <c r="AF13" s="57">
        <v>49.5</v>
      </c>
      <c r="AG13">
        <f t="shared" si="0"/>
        <v>0.91070393698989172</v>
      </c>
      <c r="AH13" s="17">
        <f t="shared" si="1"/>
        <v>0.71314418843268479</v>
      </c>
    </row>
    <row r="14" spans="1:49" ht="15" thickBot="1" x14ac:dyDescent="0.4">
      <c r="A14" s="57">
        <v>13</v>
      </c>
      <c r="B14" t="s">
        <v>232</v>
      </c>
      <c r="C14" s="57">
        <v>74</v>
      </c>
      <c r="D14" s="57">
        <v>43</v>
      </c>
      <c r="E14" s="57">
        <v>31</v>
      </c>
      <c r="F14" s="58">
        <v>0.58099999999999996</v>
      </c>
      <c r="G14" s="57">
        <v>48.5</v>
      </c>
      <c r="H14" s="57">
        <v>117.3</v>
      </c>
      <c r="I14">
        <v>43.7</v>
      </c>
      <c r="J14">
        <v>90.9</v>
      </c>
      <c r="K14" s="57">
        <v>1.2</v>
      </c>
      <c r="L14" s="57">
        <v>48.1</v>
      </c>
      <c r="M14">
        <v>14.2</v>
      </c>
      <c r="N14">
        <v>38.799999999999997</v>
      </c>
      <c r="O14" s="57">
        <v>36.700000000000003</v>
      </c>
      <c r="P14" s="57">
        <v>15.7</v>
      </c>
      <c r="Q14" s="57">
        <v>21</v>
      </c>
      <c r="R14" s="57">
        <v>74.5</v>
      </c>
      <c r="S14">
        <v>10.6</v>
      </c>
      <c r="T14">
        <v>33.1</v>
      </c>
      <c r="U14">
        <v>43.7</v>
      </c>
      <c r="V14">
        <v>28.6</v>
      </c>
      <c r="W14">
        <v>13.3</v>
      </c>
      <c r="X14">
        <v>7.6</v>
      </c>
      <c r="Y14">
        <v>4.0999999999999996</v>
      </c>
      <c r="Z14">
        <v>4.5999999999999996</v>
      </c>
      <c r="AA14">
        <v>20</v>
      </c>
      <c r="AB14" s="57">
        <v>18.5</v>
      </c>
      <c r="AC14" s="57">
        <v>1.2</v>
      </c>
      <c r="AD14" s="63">
        <v>1</v>
      </c>
      <c r="AE14" s="57">
        <v>1.2</v>
      </c>
      <c r="AF14" s="57">
        <v>48.1</v>
      </c>
      <c r="AG14">
        <f t="shared" si="0"/>
        <v>0.66398983610510509</v>
      </c>
      <c r="AH14" s="17">
        <f t="shared" si="1"/>
        <v>0.66015607945734245</v>
      </c>
    </row>
    <row r="15" spans="1:49" ht="15" thickBot="1" x14ac:dyDescent="0.4">
      <c r="A15" s="57">
        <v>14</v>
      </c>
      <c r="B15" t="s">
        <v>231</v>
      </c>
      <c r="C15" s="57">
        <v>76</v>
      </c>
      <c r="D15" s="57">
        <v>43</v>
      </c>
      <c r="E15" s="57">
        <v>33</v>
      </c>
      <c r="F15" s="58">
        <v>0.56599999999999995</v>
      </c>
      <c r="G15" s="57">
        <v>48.1</v>
      </c>
      <c r="H15" s="57">
        <v>122.9</v>
      </c>
      <c r="I15">
        <v>46.8</v>
      </c>
      <c r="J15">
        <v>92.6</v>
      </c>
      <c r="K15" s="57">
        <v>2.5</v>
      </c>
      <c r="L15" s="57">
        <v>50.5</v>
      </c>
      <c r="M15">
        <v>13.2</v>
      </c>
      <c r="N15">
        <v>35.200000000000003</v>
      </c>
      <c r="O15" s="57">
        <v>37.6</v>
      </c>
      <c r="P15" s="57">
        <v>16.100000000000001</v>
      </c>
      <c r="Q15" s="57">
        <v>20.8</v>
      </c>
      <c r="R15" s="57">
        <v>77.8</v>
      </c>
      <c r="S15">
        <v>10</v>
      </c>
      <c r="T15">
        <v>31.5</v>
      </c>
      <c r="U15">
        <v>41.5</v>
      </c>
      <c r="V15">
        <v>30.6</v>
      </c>
      <c r="W15">
        <v>13</v>
      </c>
      <c r="X15">
        <v>7.7</v>
      </c>
      <c r="Y15">
        <v>5.9</v>
      </c>
      <c r="Z15">
        <v>5.4</v>
      </c>
      <c r="AA15">
        <v>21.4</v>
      </c>
      <c r="AB15" s="57">
        <v>18.399999999999999</v>
      </c>
      <c r="AC15" s="57">
        <v>2.5</v>
      </c>
      <c r="AD15" s="63">
        <v>1</v>
      </c>
      <c r="AE15" s="57">
        <v>2.5</v>
      </c>
      <c r="AF15" s="57">
        <v>50.5</v>
      </c>
      <c r="AG15">
        <f t="shared" si="0"/>
        <v>1.032035928237673</v>
      </c>
      <c r="AH15" s="17">
        <f t="shared" si="1"/>
        <v>0.73731041255934349</v>
      </c>
    </row>
    <row r="16" spans="1:49" ht="15" thickBot="1" x14ac:dyDescent="0.4">
      <c r="A16" s="57">
        <v>15</v>
      </c>
      <c r="B16" t="s">
        <v>230</v>
      </c>
      <c r="C16" s="57">
        <v>75</v>
      </c>
      <c r="D16" s="57">
        <v>42</v>
      </c>
      <c r="E16" s="57">
        <v>33</v>
      </c>
      <c r="F16" s="58">
        <v>0.56000000000000005</v>
      </c>
      <c r="G16" s="57">
        <v>48.5</v>
      </c>
      <c r="H16" s="57">
        <v>117.7</v>
      </c>
      <c r="I16">
        <v>43.5</v>
      </c>
      <c r="J16">
        <v>87.4</v>
      </c>
      <c r="K16" s="57">
        <v>0.2</v>
      </c>
      <c r="L16" s="57">
        <v>49.8</v>
      </c>
      <c r="M16">
        <v>11.7</v>
      </c>
      <c r="N16">
        <v>31.1</v>
      </c>
      <c r="O16" s="57">
        <v>37.700000000000003</v>
      </c>
      <c r="P16" s="57">
        <v>18.899999999999999</v>
      </c>
      <c r="Q16" s="57">
        <v>24.2</v>
      </c>
      <c r="R16" s="57">
        <v>78</v>
      </c>
      <c r="S16">
        <v>8.1</v>
      </c>
      <c r="T16">
        <v>35.1</v>
      </c>
      <c r="U16">
        <v>43.2</v>
      </c>
      <c r="V16">
        <v>28.5</v>
      </c>
      <c r="W16">
        <v>13.8</v>
      </c>
      <c r="X16">
        <v>7.2</v>
      </c>
      <c r="Y16">
        <v>5.5</v>
      </c>
      <c r="Z16">
        <v>4.8</v>
      </c>
      <c r="AA16">
        <v>15.8</v>
      </c>
      <c r="AB16" s="57">
        <v>19.8</v>
      </c>
      <c r="AC16" s="57">
        <v>0.2</v>
      </c>
      <c r="AD16" s="63">
        <v>1</v>
      </c>
      <c r="AE16" s="57">
        <v>0.2</v>
      </c>
      <c r="AF16" s="57">
        <v>49.8</v>
      </c>
      <c r="AG16">
        <f t="shared" si="0"/>
        <v>0.84175953208531862</v>
      </c>
      <c r="AH16" s="17">
        <f t="shared" si="1"/>
        <v>0.69883566433811961</v>
      </c>
    </row>
    <row r="17" spans="1:34" ht="15" thickBot="1" x14ac:dyDescent="0.4">
      <c r="A17" s="57">
        <v>16</v>
      </c>
      <c r="B17" t="s">
        <v>229</v>
      </c>
      <c r="C17" s="57">
        <v>74</v>
      </c>
      <c r="D17" s="57">
        <v>41</v>
      </c>
      <c r="E17" s="57">
        <v>33</v>
      </c>
      <c r="F17" s="58">
        <v>0.55400000000000005</v>
      </c>
      <c r="G17" s="57">
        <v>48.1</v>
      </c>
      <c r="H17" s="57">
        <v>109.9</v>
      </c>
      <c r="I17">
        <v>39.799999999999997</v>
      </c>
      <c r="J17">
        <v>85.7</v>
      </c>
      <c r="K17" s="57">
        <v>1.4</v>
      </c>
      <c r="L17" s="57">
        <v>46.4</v>
      </c>
      <c r="M17">
        <v>12.4</v>
      </c>
      <c r="N17">
        <v>33.4</v>
      </c>
      <c r="O17" s="57">
        <v>37</v>
      </c>
      <c r="P17" s="57">
        <v>18</v>
      </c>
      <c r="Q17" s="57">
        <v>22.2</v>
      </c>
      <c r="R17" s="57">
        <v>81.3</v>
      </c>
      <c r="S17">
        <v>9.3000000000000007</v>
      </c>
      <c r="T17">
        <v>32.799999999999997</v>
      </c>
      <c r="U17">
        <v>42.1</v>
      </c>
      <c r="V17">
        <v>25.7</v>
      </c>
      <c r="W17">
        <v>12.5</v>
      </c>
      <c r="X17">
        <v>7.6</v>
      </c>
      <c r="Y17">
        <v>3.4</v>
      </c>
      <c r="Z17">
        <v>4.8</v>
      </c>
      <c r="AA17">
        <v>17.399999999999999</v>
      </c>
      <c r="AB17" s="57">
        <v>19</v>
      </c>
      <c r="AC17" s="57">
        <v>1.4</v>
      </c>
      <c r="AD17" s="63">
        <v>1</v>
      </c>
      <c r="AE17" s="57">
        <v>1.4</v>
      </c>
      <c r="AF17" s="57">
        <v>46.4</v>
      </c>
      <c r="AG17">
        <f t="shared" si="0"/>
        <v>0.45168112298426699</v>
      </c>
      <c r="AH17" s="17">
        <f t="shared" si="1"/>
        <v>0.61103886157732279</v>
      </c>
    </row>
    <row r="18" spans="1:34" ht="15" thickBot="1" x14ac:dyDescent="0.4">
      <c r="A18" s="57">
        <v>17</v>
      </c>
      <c r="B18" t="s">
        <v>228</v>
      </c>
      <c r="C18" s="57">
        <v>74</v>
      </c>
      <c r="D18" s="57">
        <v>40</v>
      </c>
      <c r="E18" s="57">
        <v>34</v>
      </c>
      <c r="F18" s="58">
        <v>0.54100000000000004</v>
      </c>
      <c r="G18" s="57">
        <v>48.4</v>
      </c>
      <c r="H18" s="57">
        <v>118</v>
      </c>
      <c r="I18">
        <v>43.7</v>
      </c>
      <c r="J18">
        <v>92.2</v>
      </c>
      <c r="K18" s="57">
        <v>2.1</v>
      </c>
      <c r="L18" s="57">
        <v>47.4</v>
      </c>
      <c r="M18">
        <v>14.7</v>
      </c>
      <c r="N18">
        <v>39.200000000000003</v>
      </c>
      <c r="O18" s="57">
        <v>37.5</v>
      </c>
      <c r="P18" s="57">
        <v>15.8</v>
      </c>
      <c r="Q18" s="57">
        <v>20.3</v>
      </c>
      <c r="R18" s="57">
        <v>77.8</v>
      </c>
      <c r="S18">
        <v>12.4</v>
      </c>
      <c r="T18">
        <v>34.4</v>
      </c>
      <c r="U18">
        <v>46.8</v>
      </c>
      <c r="V18">
        <v>29.2</v>
      </c>
      <c r="W18">
        <v>14.2</v>
      </c>
      <c r="X18">
        <v>6.9</v>
      </c>
      <c r="Y18">
        <v>4.4000000000000004</v>
      </c>
      <c r="Z18">
        <v>5</v>
      </c>
      <c r="AA18">
        <v>19.7</v>
      </c>
      <c r="AB18" s="57">
        <v>18.2</v>
      </c>
      <c r="AC18" s="57">
        <v>2.1</v>
      </c>
      <c r="AD18" s="63">
        <v>0</v>
      </c>
      <c r="AE18" s="57">
        <v>2.1</v>
      </c>
      <c r="AF18" s="57">
        <v>47.4</v>
      </c>
      <c r="AG18">
        <f t="shared" si="0"/>
        <v>0.61186950851525168</v>
      </c>
      <c r="AH18" s="17">
        <f t="shared" si="1"/>
        <v>0.64836714420658847</v>
      </c>
    </row>
    <row r="19" spans="1:34" ht="15" thickBot="1" x14ac:dyDescent="0.4">
      <c r="A19" s="57">
        <v>18</v>
      </c>
      <c r="B19" t="s">
        <v>227</v>
      </c>
      <c r="C19" s="57">
        <v>75</v>
      </c>
      <c r="D19" s="57">
        <v>40</v>
      </c>
      <c r="E19" s="57">
        <v>35</v>
      </c>
      <c r="F19" s="58">
        <v>0.53300000000000003</v>
      </c>
      <c r="G19" s="57">
        <v>48.1</v>
      </c>
      <c r="H19" s="57">
        <v>114.4</v>
      </c>
      <c r="I19">
        <v>41.4</v>
      </c>
      <c r="J19">
        <v>89.1</v>
      </c>
      <c r="K19" s="57">
        <v>2.2000000000000002</v>
      </c>
      <c r="L19" s="57">
        <v>46.4</v>
      </c>
      <c r="M19">
        <v>11.9</v>
      </c>
      <c r="N19">
        <v>32.9</v>
      </c>
      <c r="O19" s="57">
        <v>36.1</v>
      </c>
      <c r="P19" s="57">
        <v>19.7</v>
      </c>
      <c r="Q19" s="57">
        <v>23.9</v>
      </c>
      <c r="R19" s="57">
        <v>82.5</v>
      </c>
      <c r="S19">
        <v>11.1</v>
      </c>
      <c r="T19">
        <v>31.5</v>
      </c>
      <c r="U19">
        <v>42.7</v>
      </c>
      <c r="V19">
        <v>24.6</v>
      </c>
      <c r="W19">
        <v>11.8</v>
      </c>
      <c r="X19">
        <v>8.3000000000000007</v>
      </c>
      <c r="Y19">
        <v>6</v>
      </c>
      <c r="Z19">
        <v>6.1</v>
      </c>
      <c r="AA19">
        <v>20.5</v>
      </c>
      <c r="AB19" s="57">
        <v>18.7</v>
      </c>
      <c r="AC19" s="57">
        <v>2.2000000000000002</v>
      </c>
      <c r="AD19" s="63">
        <v>0</v>
      </c>
      <c r="AE19" s="57">
        <v>2.2000000000000002</v>
      </c>
      <c r="AF19" s="57">
        <v>46.4</v>
      </c>
      <c r="AG19">
        <f t="shared" si="0"/>
        <v>0.48622014012489245</v>
      </c>
      <c r="AH19" s="17">
        <f t="shared" si="1"/>
        <v>0.61921559058259312</v>
      </c>
    </row>
    <row r="20" spans="1:34" ht="15" thickBot="1" x14ac:dyDescent="0.4">
      <c r="A20" s="57">
        <v>19</v>
      </c>
      <c r="B20" t="s">
        <v>226</v>
      </c>
      <c r="C20" s="57">
        <v>74</v>
      </c>
      <c r="D20" s="57">
        <v>38</v>
      </c>
      <c r="E20" s="57">
        <v>36</v>
      </c>
      <c r="F20" s="58">
        <v>0.51400000000000001</v>
      </c>
      <c r="G20" s="57">
        <v>48.4</v>
      </c>
      <c r="H20" s="57">
        <v>114.2</v>
      </c>
      <c r="I20">
        <v>41.7</v>
      </c>
      <c r="J20">
        <v>90.8</v>
      </c>
      <c r="K20" s="57">
        <v>1.6</v>
      </c>
      <c r="L20" s="57">
        <v>46</v>
      </c>
      <c r="M20">
        <v>12.5</v>
      </c>
      <c r="N20">
        <v>35.6</v>
      </c>
      <c r="O20" s="57">
        <v>35.299999999999997</v>
      </c>
      <c r="P20" s="57">
        <v>18.100000000000001</v>
      </c>
      <c r="Q20" s="57">
        <v>23.5</v>
      </c>
      <c r="R20" s="57">
        <v>77.2</v>
      </c>
      <c r="S20">
        <v>11.5</v>
      </c>
      <c r="T20">
        <v>34.5</v>
      </c>
      <c r="U20">
        <v>46</v>
      </c>
      <c r="V20">
        <v>24.7</v>
      </c>
      <c r="W20">
        <v>12.8</v>
      </c>
      <c r="X20">
        <v>7.8</v>
      </c>
      <c r="Y20">
        <v>4.5999999999999996</v>
      </c>
      <c r="Z20">
        <v>5.9</v>
      </c>
      <c r="AA20">
        <v>20.8</v>
      </c>
      <c r="AB20" s="57">
        <v>19.8</v>
      </c>
      <c r="AC20" s="57">
        <v>1.6</v>
      </c>
      <c r="AD20" s="63">
        <v>0</v>
      </c>
      <c r="AE20" s="57">
        <v>1.6</v>
      </c>
      <c r="AF20" s="57">
        <v>46</v>
      </c>
      <c r="AG20">
        <f t="shared" si="0"/>
        <v>0.40832917905624733</v>
      </c>
      <c r="AH20" s="17">
        <f t="shared" si="1"/>
        <v>0.60068717974464669</v>
      </c>
    </row>
    <row r="21" spans="1:34" ht="15" thickBot="1" x14ac:dyDescent="0.4">
      <c r="A21" s="57">
        <v>20</v>
      </c>
      <c r="B21" t="s">
        <v>225</v>
      </c>
      <c r="C21" s="57">
        <v>76</v>
      </c>
      <c r="D21" s="57">
        <v>36</v>
      </c>
      <c r="E21" s="57">
        <v>40</v>
      </c>
      <c r="F21" s="58">
        <v>0.47399999999999998</v>
      </c>
      <c r="G21" s="57">
        <v>48.7</v>
      </c>
      <c r="H21" s="57">
        <v>111.9</v>
      </c>
      <c r="I21">
        <v>41.7</v>
      </c>
      <c r="J21">
        <v>89.3</v>
      </c>
      <c r="K21" s="57">
        <v>-1.6</v>
      </c>
      <c r="L21" s="57">
        <v>46.7</v>
      </c>
      <c r="M21">
        <v>11.6</v>
      </c>
      <c r="N21">
        <v>32.299999999999997</v>
      </c>
      <c r="O21" s="57">
        <v>35.9</v>
      </c>
      <c r="P21" s="57">
        <v>16.899999999999999</v>
      </c>
      <c r="Q21" s="57">
        <v>21.3</v>
      </c>
      <c r="R21" s="57">
        <v>79.5</v>
      </c>
      <c r="S21">
        <v>11</v>
      </c>
      <c r="T21">
        <v>32.700000000000003</v>
      </c>
      <c r="U21">
        <v>43.7</v>
      </c>
      <c r="V21">
        <v>25</v>
      </c>
      <c r="W21">
        <v>12.1</v>
      </c>
      <c r="X21">
        <v>7.6</v>
      </c>
      <c r="Y21">
        <v>4.8</v>
      </c>
      <c r="Z21">
        <v>5</v>
      </c>
      <c r="AA21">
        <v>18.8</v>
      </c>
      <c r="AB21" s="57">
        <v>18.899999999999999</v>
      </c>
      <c r="AC21" s="57">
        <v>-1.6</v>
      </c>
      <c r="AD21" s="63">
        <v>0</v>
      </c>
      <c r="AE21" s="57">
        <v>-1.6</v>
      </c>
      <c r="AF21" s="57">
        <v>46.7</v>
      </c>
      <c r="AG21">
        <f t="shared" si="0"/>
        <v>0.36114983236680498</v>
      </c>
      <c r="AH21" s="17">
        <f t="shared" si="1"/>
        <v>0.58931874752582958</v>
      </c>
    </row>
    <row r="22" spans="1:34" ht="15" thickBot="1" x14ac:dyDescent="0.4">
      <c r="A22" s="57">
        <v>21</v>
      </c>
      <c r="B22" t="s">
        <v>224</v>
      </c>
      <c r="C22" s="57">
        <v>75</v>
      </c>
      <c r="D22" s="57">
        <v>35</v>
      </c>
      <c r="E22" s="57">
        <v>40</v>
      </c>
      <c r="F22" s="58">
        <v>0.46700000000000003</v>
      </c>
      <c r="G22" s="57">
        <v>48.3</v>
      </c>
      <c r="H22" s="57">
        <v>119.1</v>
      </c>
      <c r="I22">
        <v>43.2</v>
      </c>
      <c r="J22">
        <v>92.6</v>
      </c>
      <c r="K22" s="57">
        <v>-1.2</v>
      </c>
      <c r="L22" s="57">
        <v>46.7</v>
      </c>
      <c r="M22">
        <v>13.8</v>
      </c>
      <c r="N22">
        <v>37.700000000000003</v>
      </c>
      <c r="O22" s="57">
        <v>36.700000000000003</v>
      </c>
      <c r="P22" s="57">
        <v>18.8</v>
      </c>
      <c r="Q22" s="57">
        <v>23.5</v>
      </c>
      <c r="R22" s="57">
        <v>80.099999999999994</v>
      </c>
      <c r="S22">
        <v>12.7</v>
      </c>
      <c r="T22">
        <v>32</v>
      </c>
      <c r="U22">
        <v>44.7</v>
      </c>
      <c r="V22">
        <v>26.4</v>
      </c>
      <c r="W22">
        <v>13.2</v>
      </c>
      <c r="X22">
        <v>7.5</v>
      </c>
      <c r="Y22">
        <v>4.5999999999999996</v>
      </c>
      <c r="Z22">
        <v>5.6</v>
      </c>
      <c r="AA22">
        <v>18.5</v>
      </c>
      <c r="AB22" s="57">
        <v>19.5</v>
      </c>
      <c r="AC22" s="57">
        <v>-1.2</v>
      </c>
      <c r="AD22" s="63">
        <v>0</v>
      </c>
      <c r="AE22" s="57">
        <v>-1.2</v>
      </c>
      <c r="AF22" s="57">
        <v>46.7</v>
      </c>
      <c r="AG22">
        <f t="shared" si="0"/>
        <v>0.37841934093711771</v>
      </c>
      <c r="AH22" s="17">
        <f t="shared" si="1"/>
        <v>0.59349181069084933</v>
      </c>
    </row>
    <row r="23" spans="1:34" ht="15" thickBot="1" x14ac:dyDescent="0.4">
      <c r="A23" s="57">
        <v>22</v>
      </c>
      <c r="B23" t="s">
        <v>223</v>
      </c>
      <c r="C23" s="57">
        <v>75</v>
      </c>
      <c r="D23" s="57">
        <v>29</v>
      </c>
      <c r="E23" s="57">
        <v>46</v>
      </c>
      <c r="F23" s="58">
        <v>0.38700000000000001</v>
      </c>
      <c r="G23" s="57">
        <v>48.3</v>
      </c>
      <c r="H23" s="57">
        <v>116.2</v>
      </c>
      <c r="I23">
        <v>42.1</v>
      </c>
      <c r="J23">
        <v>90.1</v>
      </c>
      <c r="K23" s="57">
        <v>-4.4000000000000004</v>
      </c>
      <c r="L23" s="57">
        <v>46.8</v>
      </c>
      <c r="M23">
        <v>13</v>
      </c>
      <c r="N23">
        <v>36.700000000000003</v>
      </c>
      <c r="O23" s="57">
        <v>35.5</v>
      </c>
      <c r="P23" s="57">
        <v>18.899999999999999</v>
      </c>
      <c r="Q23" s="57">
        <v>22.7</v>
      </c>
      <c r="R23" s="57">
        <v>83.1</v>
      </c>
      <c r="S23">
        <v>12.3</v>
      </c>
      <c r="T23">
        <v>33.5</v>
      </c>
      <c r="U23">
        <v>45.8</v>
      </c>
      <c r="V23">
        <v>27.6</v>
      </c>
      <c r="W23">
        <v>15.6</v>
      </c>
      <c r="X23">
        <v>6.5</v>
      </c>
      <c r="Y23">
        <v>5.7</v>
      </c>
      <c r="Z23">
        <v>6.4</v>
      </c>
      <c r="AA23">
        <v>18.8</v>
      </c>
      <c r="AB23" s="57">
        <v>19.5</v>
      </c>
      <c r="AC23" s="57">
        <v>-4.4000000000000004</v>
      </c>
      <c r="AD23" s="63">
        <v>0</v>
      </c>
      <c r="AE23" s="57">
        <v>-4.4000000000000004</v>
      </c>
      <c r="AF23" s="57">
        <v>46.8</v>
      </c>
      <c r="AG23">
        <f t="shared" si="0"/>
        <v>0.25325994692790932</v>
      </c>
      <c r="AH23" s="17">
        <f t="shared" si="1"/>
        <v>0.56297872161842277</v>
      </c>
    </row>
    <row r="24" spans="1:34" ht="15" thickBot="1" x14ac:dyDescent="0.4">
      <c r="A24" s="57">
        <v>23</v>
      </c>
      <c r="B24" t="s">
        <v>222</v>
      </c>
      <c r="C24" s="57">
        <v>76</v>
      </c>
      <c r="D24" s="57">
        <v>29</v>
      </c>
      <c r="E24" s="57">
        <v>47</v>
      </c>
      <c r="F24" s="58">
        <v>0.38200000000000001</v>
      </c>
      <c r="G24" s="57">
        <v>48.3</v>
      </c>
      <c r="H24" s="57">
        <v>111.1</v>
      </c>
      <c r="I24">
        <v>41</v>
      </c>
      <c r="J24">
        <v>89.6</v>
      </c>
      <c r="K24" s="57">
        <v>-2.6</v>
      </c>
      <c r="L24" s="57">
        <v>45.7</v>
      </c>
      <c r="M24">
        <v>13.5</v>
      </c>
      <c r="N24">
        <v>37.1</v>
      </c>
      <c r="O24" s="57">
        <v>36.5</v>
      </c>
      <c r="P24" s="57">
        <v>15.7</v>
      </c>
      <c r="Q24" s="57">
        <v>20.8</v>
      </c>
      <c r="R24" s="57">
        <v>75.5</v>
      </c>
      <c r="S24">
        <v>11.5</v>
      </c>
      <c r="T24">
        <v>32.299999999999997</v>
      </c>
      <c r="U24">
        <v>43.8</v>
      </c>
      <c r="V24">
        <v>26</v>
      </c>
      <c r="W24">
        <v>13</v>
      </c>
      <c r="X24">
        <v>7</v>
      </c>
      <c r="Y24">
        <v>5</v>
      </c>
      <c r="Z24">
        <v>4.9000000000000004</v>
      </c>
      <c r="AA24">
        <v>18.8</v>
      </c>
      <c r="AB24" s="57">
        <v>18.2</v>
      </c>
      <c r="AC24" s="57">
        <v>-2.6</v>
      </c>
      <c r="AD24" s="63">
        <v>0</v>
      </c>
      <c r="AE24" s="57">
        <v>-2.6</v>
      </c>
      <c r="AF24" s="57">
        <v>45.7</v>
      </c>
      <c r="AG24">
        <f t="shared" si="0"/>
        <v>0.18800931540808463</v>
      </c>
      <c r="AH24" s="17">
        <f t="shared" si="1"/>
        <v>0.54686436525295401</v>
      </c>
    </row>
    <row r="25" spans="1:34" ht="15" thickBot="1" x14ac:dyDescent="0.4">
      <c r="A25" s="57">
        <v>24</v>
      </c>
      <c r="B25" t="s">
        <v>221</v>
      </c>
      <c r="C25" s="57">
        <v>75</v>
      </c>
      <c r="D25" s="57">
        <v>25</v>
      </c>
      <c r="E25" s="57">
        <v>50</v>
      </c>
      <c r="F25" s="58">
        <v>0.33300000000000002</v>
      </c>
      <c r="G25" s="57">
        <v>48.3</v>
      </c>
      <c r="H25" s="57">
        <v>105.9</v>
      </c>
      <c r="I25">
        <v>38.200000000000003</v>
      </c>
      <c r="J25">
        <v>87.7</v>
      </c>
      <c r="K25" s="57">
        <v>-7.2</v>
      </c>
      <c r="L25" s="57">
        <v>43.5</v>
      </c>
      <c r="M25">
        <v>13.3</v>
      </c>
      <c r="N25">
        <v>38.4</v>
      </c>
      <c r="O25" s="57">
        <v>34.700000000000003</v>
      </c>
      <c r="P25" s="57">
        <v>16.2</v>
      </c>
      <c r="Q25" s="57">
        <v>21.3</v>
      </c>
      <c r="R25" s="57">
        <v>76.2</v>
      </c>
      <c r="S25">
        <v>10.6</v>
      </c>
      <c r="T25">
        <v>31.7</v>
      </c>
      <c r="U25">
        <v>42.3</v>
      </c>
      <c r="V25">
        <v>25</v>
      </c>
      <c r="W25">
        <v>15.1</v>
      </c>
      <c r="X25">
        <v>8</v>
      </c>
      <c r="Y25">
        <v>6.2</v>
      </c>
      <c r="Z25">
        <v>6.4</v>
      </c>
      <c r="AA25">
        <v>19.2</v>
      </c>
      <c r="AB25" s="57">
        <v>19</v>
      </c>
      <c r="AC25" s="57">
        <v>-7.2</v>
      </c>
      <c r="AD25" s="63">
        <v>0</v>
      </c>
      <c r="AE25" s="57">
        <v>-7.2</v>
      </c>
      <c r="AF25" s="57">
        <v>43.5</v>
      </c>
      <c r="AG25">
        <f t="shared" si="0"/>
        <v>-0.29651687332297438</v>
      </c>
      <c r="AH25" s="17">
        <f t="shared" si="1"/>
        <v>0.42640918243354248</v>
      </c>
    </row>
    <row r="26" spans="1:34" ht="15" thickBot="1" x14ac:dyDescent="0.4">
      <c r="A26" s="57">
        <v>25</v>
      </c>
      <c r="B26" t="s">
        <v>220</v>
      </c>
      <c r="C26" s="57">
        <v>74</v>
      </c>
      <c r="D26" s="57">
        <v>23</v>
      </c>
      <c r="E26" s="57">
        <v>51</v>
      </c>
      <c r="F26" s="58">
        <v>0.311</v>
      </c>
      <c r="G26" s="57">
        <v>48.3</v>
      </c>
      <c r="H26" s="57">
        <v>112.7</v>
      </c>
      <c r="I26">
        <v>42.5</v>
      </c>
      <c r="J26">
        <v>89.8</v>
      </c>
      <c r="K26" s="57">
        <v>-5.7</v>
      </c>
      <c r="L26" s="57">
        <v>47.4</v>
      </c>
      <c r="M26">
        <v>11.6</v>
      </c>
      <c r="N26">
        <v>33.200000000000003</v>
      </c>
      <c r="O26" s="57">
        <v>35</v>
      </c>
      <c r="P26" s="57">
        <v>16</v>
      </c>
      <c r="Q26" s="57">
        <v>21.3</v>
      </c>
      <c r="R26" s="57">
        <v>74.900000000000006</v>
      </c>
      <c r="S26">
        <v>10.9</v>
      </c>
      <c r="T26">
        <v>31.6</v>
      </c>
      <c r="U26">
        <v>42.5</v>
      </c>
      <c r="V26">
        <v>29</v>
      </c>
      <c r="W26">
        <v>13.7</v>
      </c>
      <c r="X26">
        <v>7.8</v>
      </c>
      <c r="Y26">
        <v>4.8</v>
      </c>
      <c r="Z26">
        <v>5.5</v>
      </c>
      <c r="AA26">
        <v>18.2</v>
      </c>
      <c r="AB26" s="57">
        <v>18.100000000000001</v>
      </c>
      <c r="AC26" s="57">
        <v>-5.7</v>
      </c>
      <c r="AD26" s="63">
        <v>0</v>
      </c>
      <c r="AE26" s="57">
        <v>-5.7</v>
      </c>
      <c r="AF26" s="57">
        <v>47.4</v>
      </c>
      <c r="AG26">
        <f t="shared" si="0"/>
        <v>0.27511409139415655</v>
      </c>
      <c r="AH26" s="17">
        <f t="shared" si="1"/>
        <v>0.56834797357329248</v>
      </c>
    </row>
    <row r="27" spans="1:34" ht="15" thickBot="1" x14ac:dyDescent="0.4">
      <c r="A27" s="57">
        <v>26</v>
      </c>
      <c r="B27" t="s">
        <v>219</v>
      </c>
      <c r="C27" s="57">
        <v>75</v>
      </c>
      <c r="D27" s="57">
        <v>19</v>
      </c>
      <c r="E27" s="57">
        <v>56</v>
      </c>
      <c r="F27" s="58">
        <v>0.253</v>
      </c>
      <c r="G27" s="57">
        <v>48.5</v>
      </c>
      <c r="H27" s="57">
        <v>107.2</v>
      </c>
      <c r="I27">
        <v>39.5</v>
      </c>
      <c r="J27">
        <v>89.2</v>
      </c>
      <c r="K27" s="57">
        <v>-8.9</v>
      </c>
      <c r="L27" s="57">
        <v>44.3</v>
      </c>
      <c r="M27">
        <v>11.6</v>
      </c>
      <c r="N27">
        <v>33</v>
      </c>
      <c r="O27" s="57">
        <v>35.1</v>
      </c>
      <c r="P27" s="57">
        <v>16.5</v>
      </c>
      <c r="Q27" s="57">
        <v>20.8</v>
      </c>
      <c r="R27" s="57">
        <v>79.2</v>
      </c>
      <c r="S27">
        <v>12.2</v>
      </c>
      <c r="T27">
        <v>29.8</v>
      </c>
      <c r="U27">
        <v>41.9</v>
      </c>
      <c r="V27">
        <v>23.1</v>
      </c>
      <c r="W27">
        <v>15.3</v>
      </c>
      <c r="X27">
        <v>7.7</v>
      </c>
      <c r="Y27">
        <v>4.4000000000000004</v>
      </c>
      <c r="Z27">
        <v>6.4</v>
      </c>
      <c r="AA27">
        <v>20.399999999999999</v>
      </c>
      <c r="AB27" s="57">
        <v>18</v>
      </c>
      <c r="AC27" s="57">
        <v>-8.9</v>
      </c>
      <c r="AD27" s="63">
        <v>0</v>
      </c>
      <c r="AE27" s="57">
        <v>-8.9</v>
      </c>
      <c r="AF27" s="57">
        <v>44.3</v>
      </c>
      <c r="AG27">
        <f t="shared" si="0"/>
        <v>-0.26593888832045209</v>
      </c>
      <c r="AH27" s="17">
        <f t="shared" si="1"/>
        <v>0.43390436238777463</v>
      </c>
    </row>
    <row r="28" spans="1:34" ht="15" thickBot="1" x14ac:dyDescent="0.4">
      <c r="A28" s="57">
        <v>27</v>
      </c>
      <c r="B28" t="s">
        <v>218</v>
      </c>
      <c r="C28" s="57">
        <v>75</v>
      </c>
      <c r="D28" s="57">
        <v>18</v>
      </c>
      <c r="E28" s="57">
        <v>57</v>
      </c>
      <c r="F28" s="58">
        <v>0.24</v>
      </c>
      <c r="G28" s="57">
        <v>48.1</v>
      </c>
      <c r="H28" s="57">
        <v>106.3</v>
      </c>
      <c r="I28">
        <v>40.1</v>
      </c>
      <c r="J28">
        <v>87.5</v>
      </c>
      <c r="K28" s="57">
        <v>-10.6</v>
      </c>
      <c r="L28" s="57">
        <v>45.8</v>
      </c>
      <c r="M28">
        <v>11.9</v>
      </c>
      <c r="N28">
        <v>33.9</v>
      </c>
      <c r="O28" s="57">
        <v>35.1</v>
      </c>
      <c r="P28" s="57">
        <v>14.3</v>
      </c>
      <c r="Q28" s="57">
        <v>18.399999999999999</v>
      </c>
      <c r="R28" s="57">
        <v>77.900000000000006</v>
      </c>
      <c r="S28">
        <v>9.6999999999999993</v>
      </c>
      <c r="T28">
        <v>30.9</v>
      </c>
      <c r="U28">
        <v>40.6</v>
      </c>
      <c r="V28">
        <v>24.6</v>
      </c>
      <c r="W28">
        <v>13.7</v>
      </c>
      <c r="X28">
        <v>6.7</v>
      </c>
      <c r="Y28">
        <v>4.4000000000000004</v>
      </c>
      <c r="Z28">
        <v>5</v>
      </c>
      <c r="AA28">
        <v>18.100000000000001</v>
      </c>
      <c r="AB28" s="57">
        <v>17.5</v>
      </c>
      <c r="AC28" s="57">
        <v>-10.6</v>
      </c>
      <c r="AD28" s="63">
        <v>0</v>
      </c>
      <c r="AE28" s="57">
        <v>-10.6</v>
      </c>
      <c r="AF28" s="57">
        <v>45.8</v>
      </c>
      <c r="AG28">
        <f t="shared" si="0"/>
        <v>-0.14438418144487386</v>
      </c>
      <c r="AH28" s="17">
        <f t="shared" si="1"/>
        <v>0.4639665314182011</v>
      </c>
    </row>
    <row r="29" spans="1:34" ht="15" thickBot="1" x14ac:dyDescent="0.4">
      <c r="A29" s="57">
        <v>27</v>
      </c>
      <c r="B29" t="s">
        <v>217</v>
      </c>
      <c r="C29" s="57">
        <v>75</v>
      </c>
      <c r="D29" s="57">
        <v>18</v>
      </c>
      <c r="E29" s="57">
        <v>57</v>
      </c>
      <c r="F29" s="58">
        <v>0.24</v>
      </c>
      <c r="G29" s="57">
        <v>48.3</v>
      </c>
      <c r="H29" s="57">
        <v>112.2</v>
      </c>
      <c r="I29">
        <v>41.9</v>
      </c>
      <c r="J29">
        <v>90.5</v>
      </c>
      <c r="K29" s="57">
        <v>-7</v>
      </c>
      <c r="L29" s="57">
        <v>46.3</v>
      </c>
      <c r="M29">
        <v>12.5</v>
      </c>
      <c r="N29">
        <v>36</v>
      </c>
      <c r="O29" s="57">
        <v>34.799999999999997</v>
      </c>
      <c r="P29" s="57">
        <v>15.9</v>
      </c>
      <c r="Q29" s="57">
        <v>20.2</v>
      </c>
      <c r="R29" s="57">
        <v>78.400000000000006</v>
      </c>
      <c r="S29">
        <v>10.4</v>
      </c>
      <c r="T29">
        <v>33.299999999999997</v>
      </c>
      <c r="U29">
        <v>43.7</v>
      </c>
      <c r="V29">
        <v>29.8</v>
      </c>
      <c r="W29">
        <v>15</v>
      </c>
      <c r="X29">
        <v>7.2</v>
      </c>
      <c r="Y29">
        <v>6.2</v>
      </c>
      <c r="Z29">
        <v>4.5999999999999996</v>
      </c>
      <c r="AA29">
        <v>17.5</v>
      </c>
      <c r="AB29" s="57">
        <v>18.100000000000001</v>
      </c>
      <c r="AC29" s="57">
        <v>-7</v>
      </c>
      <c r="AD29" s="63">
        <v>0</v>
      </c>
      <c r="AE29" s="57">
        <v>-7</v>
      </c>
      <c r="AF29" s="57">
        <v>46.3</v>
      </c>
      <c r="AG29">
        <f t="shared" si="0"/>
        <v>7.6024768454408864E-2</v>
      </c>
      <c r="AH29" s="17">
        <f t="shared" si="1"/>
        <v>0.51899704312380757</v>
      </c>
    </row>
    <row r="30" spans="1:34" ht="15" thickBot="1" x14ac:dyDescent="0.4">
      <c r="A30" s="57">
        <v>29</v>
      </c>
      <c r="B30" t="s">
        <v>216</v>
      </c>
      <c r="C30" s="57">
        <v>75</v>
      </c>
      <c r="D30" s="57">
        <v>14</v>
      </c>
      <c r="E30" s="57">
        <v>61</v>
      </c>
      <c r="F30" s="58">
        <v>0.187</v>
      </c>
      <c r="G30" s="57">
        <v>48.1</v>
      </c>
      <c r="H30" s="57">
        <v>113.3</v>
      </c>
      <c r="I30">
        <v>42.8</v>
      </c>
      <c r="J30">
        <v>91.4</v>
      </c>
      <c r="K30" s="57">
        <v>-9.6999999999999993</v>
      </c>
      <c r="L30" s="57">
        <v>46.9</v>
      </c>
      <c r="M30">
        <v>12.2</v>
      </c>
      <c r="N30">
        <v>35.200000000000003</v>
      </c>
      <c r="O30" s="57">
        <v>34.700000000000003</v>
      </c>
      <c r="P30" s="57">
        <v>15.4</v>
      </c>
      <c r="Q30" s="57">
        <v>20.100000000000001</v>
      </c>
      <c r="R30" s="57">
        <v>76.400000000000006</v>
      </c>
      <c r="S30">
        <v>9.4</v>
      </c>
      <c r="T30">
        <v>31.7</v>
      </c>
      <c r="U30">
        <v>41.1</v>
      </c>
      <c r="V30">
        <v>27.9</v>
      </c>
      <c r="W30">
        <v>14.1</v>
      </c>
      <c r="X30">
        <v>7.5</v>
      </c>
      <c r="Y30">
        <v>5.0999999999999996</v>
      </c>
      <c r="Z30">
        <v>6</v>
      </c>
      <c r="AA30">
        <v>19.899999999999999</v>
      </c>
      <c r="AB30" s="57">
        <v>17.899999999999999</v>
      </c>
      <c r="AC30" s="57">
        <v>-9.6999999999999993</v>
      </c>
      <c r="AD30" s="63">
        <v>0</v>
      </c>
      <c r="AE30" s="57">
        <v>-9.6999999999999993</v>
      </c>
      <c r="AF30" s="57">
        <v>46.9</v>
      </c>
      <c r="AG30">
        <f t="shared" si="0"/>
        <v>3.7435632924561979E-2</v>
      </c>
      <c r="AH30" s="17">
        <f t="shared" si="1"/>
        <v>0.50935781539903779</v>
      </c>
    </row>
    <row r="31" spans="1:34" x14ac:dyDescent="0.35">
      <c r="A31" s="57">
        <v>30</v>
      </c>
      <c r="B31" t="s">
        <v>215</v>
      </c>
      <c r="C31" s="57">
        <v>75</v>
      </c>
      <c r="D31" s="57">
        <v>13</v>
      </c>
      <c r="E31" s="57">
        <v>62</v>
      </c>
      <c r="F31" s="58">
        <v>0.17299999999999999</v>
      </c>
      <c r="G31" s="57">
        <v>48.2</v>
      </c>
      <c r="H31" s="57">
        <v>110.6</v>
      </c>
      <c r="I31">
        <v>41.1</v>
      </c>
      <c r="J31">
        <v>88.3</v>
      </c>
      <c r="K31" s="56">
        <v>-8.8000000000000007</v>
      </c>
      <c r="L31" s="57">
        <v>46.5</v>
      </c>
      <c r="M31">
        <v>11</v>
      </c>
      <c r="N31">
        <v>31.7</v>
      </c>
      <c r="O31" s="57">
        <v>34.799999999999997</v>
      </c>
      <c r="P31" s="57">
        <v>17.399999999999999</v>
      </c>
      <c r="Q31" s="57">
        <v>22.1</v>
      </c>
      <c r="R31" s="57">
        <v>78.8</v>
      </c>
      <c r="S31">
        <v>10.7</v>
      </c>
      <c r="T31">
        <v>33.1</v>
      </c>
      <c r="U31">
        <v>43.8</v>
      </c>
      <c r="V31">
        <v>25.7</v>
      </c>
      <c r="W31">
        <v>15.4</v>
      </c>
      <c r="X31">
        <v>6.3</v>
      </c>
      <c r="Y31">
        <v>4.8</v>
      </c>
      <c r="Z31">
        <v>6</v>
      </c>
      <c r="AA31">
        <v>21.2</v>
      </c>
      <c r="AB31" s="57">
        <v>18.100000000000001</v>
      </c>
      <c r="AC31" s="56">
        <v>-8.8000000000000007</v>
      </c>
      <c r="AD31" s="63">
        <v>0</v>
      </c>
      <c r="AE31" s="56">
        <v>-8.8000000000000007</v>
      </c>
      <c r="AF31" s="57">
        <v>46.5</v>
      </c>
      <c r="AG31">
        <f t="shared" si="0"/>
        <v>2.4305328994589814E-2</v>
      </c>
      <c r="AH31" s="17">
        <f t="shared" si="1"/>
        <v>0.50607603313404215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FDFB-5D9B-4981-B3AD-5CCBE464E849}">
  <sheetPr codeName="Sheet15">
    <tabColor rgb="FF00B050"/>
  </sheetPr>
  <dimension ref="A1:AU31"/>
  <sheetViews>
    <sheetView topLeftCell="AD1" zoomScale="85" zoomScaleNormal="115" workbookViewId="0">
      <selection activeCell="AJ14" sqref="AJ14"/>
    </sheetView>
  </sheetViews>
  <sheetFormatPr defaultRowHeight="14.5" x14ac:dyDescent="0.35"/>
  <cols>
    <col min="2" max="2" width="21" customWidth="1"/>
    <col min="6" max="6" width="8.7265625" style="1"/>
    <col min="31" max="32" width="17.26953125" bestFit="1" customWidth="1"/>
  </cols>
  <sheetData>
    <row r="1" spans="1:47" ht="15" thickBot="1" x14ac:dyDescent="0.4">
      <c r="A1" s="59"/>
      <c r="B1" s="61" t="s">
        <v>272</v>
      </c>
      <c r="C1" s="59" t="s">
        <v>271</v>
      </c>
      <c r="D1" s="59" t="s">
        <v>270</v>
      </c>
      <c r="E1" s="59" t="s">
        <v>269</v>
      </c>
      <c r="F1" s="60" t="s">
        <v>268</v>
      </c>
      <c r="G1" s="59" t="s">
        <v>267</v>
      </c>
      <c r="H1" s="59" t="s">
        <v>266</v>
      </c>
      <c r="I1" s="59" t="s">
        <v>265</v>
      </c>
      <c r="J1" s="59" t="s">
        <v>264</v>
      </c>
      <c r="K1" s="59" t="s">
        <v>246</v>
      </c>
      <c r="L1" s="59" t="s">
        <v>263</v>
      </c>
      <c r="M1" s="59" t="s">
        <v>262</v>
      </c>
      <c r="N1" s="59" t="s">
        <v>261</v>
      </c>
      <c r="O1" s="59" t="s">
        <v>260</v>
      </c>
      <c r="P1" s="59" t="s">
        <v>259</v>
      </c>
      <c r="Q1" s="59" t="s">
        <v>258</v>
      </c>
      <c r="R1" s="59" t="s">
        <v>257</v>
      </c>
      <c r="S1" s="59" t="s">
        <v>256</v>
      </c>
      <c r="T1" s="59" t="s">
        <v>255</v>
      </c>
      <c r="U1" s="59" t="s">
        <v>254</v>
      </c>
      <c r="V1" s="59" t="s">
        <v>253</v>
      </c>
      <c r="W1" s="59" t="s">
        <v>252</v>
      </c>
      <c r="X1" s="59" t="s">
        <v>251</v>
      </c>
      <c r="Y1" s="59" t="s">
        <v>250</v>
      </c>
      <c r="Z1" s="59" t="s">
        <v>249</v>
      </c>
      <c r="AA1" s="59" t="s">
        <v>248</v>
      </c>
      <c r="AB1" s="59" t="s">
        <v>247</v>
      </c>
      <c r="AC1" s="59" t="s">
        <v>246</v>
      </c>
      <c r="AD1" s="62" t="s">
        <v>245</v>
      </c>
      <c r="AE1" s="59" t="s">
        <v>324</v>
      </c>
      <c r="AF1" s="59" t="s">
        <v>323</v>
      </c>
      <c r="AG1" t="s">
        <v>297</v>
      </c>
      <c r="AH1" t="s">
        <v>299</v>
      </c>
      <c r="AI1" s="59"/>
      <c r="AJ1" t="s">
        <v>284</v>
      </c>
      <c r="AK1">
        <v>1.2579309404765582</v>
      </c>
      <c r="AM1" t="s">
        <v>300</v>
      </c>
      <c r="AN1" t="s">
        <v>301</v>
      </c>
      <c r="AO1" t="s">
        <v>302</v>
      </c>
      <c r="AP1">
        <v>0.6</v>
      </c>
      <c r="AQ1">
        <f>AP1/AP2</f>
        <v>1.4999999999999998</v>
      </c>
      <c r="AS1" t="s">
        <v>284</v>
      </c>
      <c r="AT1">
        <v>1.2579309404765582</v>
      </c>
    </row>
    <row r="2" spans="1:47" ht="15" thickBot="1" x14ac:dyDescent="0.4">
      <c r="A2" s="57">
        <v>1</v>
      </c>
      <c r="B2" t="s">
        <v>244</v>
      </c>
      <c r="C2" s="57">
        <v>75</v>
      </c>
      <c r="D2" s="57">
        <v>59</v>
      </c>
      <c r="E2" s="57">
        <v>16</v>
      </c>
      <c r="F2" s="58">
        <v>0.78700000000000003</v>
      </c>
      <c r="G2" s="57">
        <v>48.4</v>
      </c>
      <c r="H2" s="57">
        <v>120.9</v>
      </c>
      <c r="I2">
        <v>43.8</v>
      </c>
      <c r="J2">
        <v>90.1</v>
      </c>
      <c r="K2" s="57">
        <v>11.4</v>
      </c>
      <c r="L2" s="57">
        <v>48.6</v>
      </c>
      <c r="M2">
        <v>16.600000000000001</v>
      </c>
      <c r="N2">
        <v>42.6</v>
      </c>
      <c r="O2" s="57">
        <v>38.9</v>
      </c>
      <c r="P2" s="57">
        <v>16.8</v>
      </c>
      <c r="Q2" s="57">
        <v>20.7</v>
      </c>
      <c r="R2" s="57">
        <v>80.900000000000006</v>
      </c>
      <c r="S2">
        <v>10.7</v>
      </c>
      <c r="T2">
        <v>35.799999999999997</v>
      </c>
      <c r="U2">
        <v>46.5</v>
      </c>
      <c r="V2">
        <v>26.7</v>
      </c>
      <c r="W2">
        <v>12</v>
      </c>
      <c r="X2">
        <v>6.6</v>
      </c>
      <c r="Y2">
        <v>6.5</v>
      </c>
      <c r="Z2">
        <v>3.7</v>
      </c>
      <c r="AA2">
        <v>16.399999999999999</v>
      </c>
      <c r="AB2" s="57">
        <v>17.7</v>
      </c>
      <c r="AC2" s="57">
        <v>11.4</v>
      </c>
      <c r="AD2" s="63">
        <v>1</v>
      </c>
      <c r="AE2">
        <f>Z2</f>
        <v>3.7</v>
      </c>
      <c r="AF2" s="66">
        <f>AC2+M2</f>
        <v>28</v>
      </c>
      <c r="AG2">
        <f>AK$1+AE2*AK$2+AF2*AK$3</f>
        <v>1.5175631380728545</v>
      </c>
      <c r="AH2" s="17">
        <f>1/(1+EXP(-AG2))</f>
        <v>0.82017935995435254</v>
      </c>
      <c r="AJ2" t="s">
        <v>324</v>
      </c>
      <c r="AK2">
        <v>-0.2452526725572067</v>
      </c>
      <c r="AO2" t="s">
        <v>303</v>
      </c>
      <c r="AP2">
        <f>1-AP1</f>
        <v>0.4</v>
      </c>
      <c r="AS2" t="s">
        <v>324</v>
      </c>
      <c r="AT2">
        <v>-0.2452526725572067</v>
      </c>
    </row>
    <row r="3" spans="1:47" ht="15" thickBot="1" x14ac:dyDescent="0.4">
      <c r="A3" s="57">
        <v>2</v>
      </c>
      <c r="B3" t="s">
        <v>243</v>
      </c>
      <c r="C3" s="57">
        <v>74</v>
      </c>
      <c r="D3" s="57">
        <v>52</v>
      </c>
      <c r="E3" s="57">
        <v>22</v>
      </c>
      <c r="F3" s="58">
        <v>0.70299999999999996</v>
      </c>
      <c r="G3" s="57">
        <v>48.3</v>
      </c>
      <c r="H3" s="57">
        <v>120.4</v>
      </c>
      <c r="I3">
        <v>44.7</v>
      </c>
      <c r="J3">
        <v>89.4</v>
      </c>
      <c r="K3" s="57">
        <v>7.4</v>
      </c>
      <c r="L3" s="57">
        <v>50</v>
      </c>
      <c r="M3">
        <v>13.4</v>
      </c>
      <c r="N3">
        <v>34.299999999999997</v>
      </c>
      <c r="O3" s="57">
        <v>39.1</v>
      </c>
      <c r="P3" s="57">
        <v>17.600000000000001</v>
      </c>
      <c r="Q3" s="57">
        <v>21.4</v>
      </c>
      <c r="R3" s="57">
        <v>82.5</v>
      </c>
      <c r="S3">
        <v>8.8000000000000007</v>
      </c>
      <c r="T3">
        <v>33</v>
      </c>
      <c r="U3">
        <v>41.9</v>
      </c>
      <c r="V3">
        <v>26.9</v>
      </c>
      <c r="W3">
        <v>12.5</v>
      </c>
      <c r="X3">
        <v>8.3000000000000007</v>
      </c>
      <c r="Y3">
        <v>6.6</v>
      </c>
      <c r="Z3">
        <v>5.0999999999999996</v>
      </c>
      <c r="AA3">
        <v>19.2</v>
      </c>
      <c r="AB3" s="57">
        <v>19</v>
      </c>
      <c r="AC3" s="57">
        <v>7.4</v>
      </c>
      <c r="AD3" s="63">
        <v>1</v>
      </c>
      <c r="AE3">
        <f t="shared" ref="AE3:AE31" si="0">Z3</f>
        <v>5.0999999999999996</v>
      </c>
      <c r="AF3" s="66">
        <f t="shared" ref="AF3:AF31" si="1">AC3+M3</f>
        <v>20.8</v>
      </c>
      <c r="AG3">
        <f t="shared" ref="AG3:AG31" si="2">AK$1+AE3*AK$2+AF3*AK$3</f>
        <v>0.8741064315064323</v>
      </c>
      <c r="AH3" s="17">
        <f t="shared" ref="AH3:AH31" si="3">1/(1+EXP(-AG3))</f>
        <v>0.70559944197171764</v>
      </c>
      <c r="AJ3" s="29" t="s">
        <v>323</v>
      </c>
      <c r="AK3" s="29">
        <v>4.1680967359212895E-2</v>
      </c>
      <c r="AS3" s="29" t="s">
        <v>323</v>
      </c>
      <c r="AT3" s="29">
        <v>4.1680967359212895E-2</v>
      </c>
    </row>
    <row r="4" spans="1:47" ht="15" thickBot="1" x14ac:dyDescent="0.4">
      <c r="A4" s="57">
        <v>3</v>
      </c>
      <c r="B4" t="s">
        <v>242</v>
      </c>
      <c r="C4" s="57">
        <v>75</v>
      </c>
      <c r="D4" s="57">
        <v>52</v>
      </c>
      <c r="E4" s="57">
        <v>23</v>
      </c>
      <c r="F4" s="58">
        <v>0.69299999999999995</v>
      </c>
      <c r="G4" s="57">
        <v>48.1</v>
      </c>
      <c r="H4" s="57">
        <v>114.6</v>
      </c>
      <c r="I4">
        <v>43.9</v>
      </c>
      <c r="J4">
        <v>88.6</v>
      </c>
      <c r="K4" s="57">
        <v>4.8</v>
      </c>
      <c r="L4" s="57">
        <v>49.5</v>
      </c>
      <c r="M4">
        <v>11.5</v>
      </c>
      <c r="N4">
        <v>30.9</v>
      </c>
      <c r="O4" s="57">
        <v>37.299999999999997</v>
      </c>
      <c r="P4" s="57">
        <v>15.3</v>
      </c>
      <c r="Q4" s="57">
        <v>20</v>
      </c>
      <c r="R4" s="57">
        <v>76.5</v>
      </c>
      <c r="S4">
        <v>10.8</v>
      </c>
      <c r="T4">
        <v>33.4</v>
      </c>
      <c r="U4">
        <v>44.3</v>
      </c>
      <c r="V4">
        <v>29.3</v>
      </c>
      <c r="W4">
        <v>12.6</v>
      </c>
      <c r="X4">
        <v>7.1</v>
      </c>
      <c r="Y4">
        <v>5.4</v>
      </c>
      <c r="Z4">
        <v>4.9000000000000004</v>
      </c>
      <c r="AA4">
        <v>18.2</v>
      </c>
      <c r="AB4" s="57">
        <v>18</v>
      </c>
      <c r="AC4" s="57">
        <v>4.8</v>
      </c>
      <c r="AD4" s="63">
        <v>1</v>
      </c>
      <c r="AE4">
        <f t="shared" si="0"/>
        <v>4.9000000000000004</v>
      </c>
      <c r="AF4" s="66">
        <f t="shared" si="1"/>
        <v>16.3</v>
      </c>
      <c r="AG4">
        <f t="shared" si="2"/>
        <v>0.73559261290141542</v>
      </c>
      <c r="AH4" s="17">
        <f>1/(1+EXP(-AG4))</f>
        <v>0.67603133117489778</v>
      </c>
      <c r="AJ4" s="67" t="s">
        <v>297</v>
      </c>
      <c r="AK4" s="69">
        <f>$AK$1+$AK$2*AK5+AK3*AK6</f>
        <v>0.95348199119127908</v>
      </c>
      <c r="AS4" s="67" t="s">
        <v>297</v>
      </c>
      <c r="AT4" s="69">
        <f>$AK$1+$AK$2*AT5+AT3*AT6</f>
        <v>0.70822931863407224</v>
      </c>
    </row>
    <row r="5" spans="1:47" ht="15" thickBot="1" x14ac:dyDescent="0.4">
      <c r="A5" s="57">
        <v>4</v>
      </c>
      <c r="B5" t="s">
        <v>241</v>
      </c>
      <c r="C5" s="57">
        <v>74</v>
      </c>
      <c r="D5" s="57">
        <v>51</v>
      </c>
      <c r="E5" s="57">
        <v>23</v>
      </c>
      <c r="F5" s="58">
        <v>0.68899999999999995</v>
      </c>
      <c r="G5" s="57">
        <v>48.3</v>
      </c>
      <c r="H5" s="57">
        <v>112.9</v>
      </c>
      <c r="I5">
        <v>41.2</v>
      </c>
      <c r="J5">
        <v>85.1</v>
      </c>
      <c r="K5" s="57">
        <v>6.6</v>
      </c>
      <c r="L5" s="57">
        <v>48.5</v>
      </c>
      <c r="M5">
        <v>12.6</v>
      </c>
      <c r="N5">
        <v>32.6</v>
      </c>
      <c r="O5" s="57">
        <v>38.6</v>
      </c>
      <c r="P5" s="57">
        <v>17.8</v>
      </c>
      <c r="Q5" s="57">
        <v>22.9</v>
      </c>
      <c r="R5" s="57">
        <v>77.7</v>
      </c>
      <c r="S5">
        <v>9.4</v>
      </c>
      <c r="T5">
        <v>34.4</v>
      </c>
      <c r="U5">
        <v>43.8</v>
      </c>
      <c r="V5">
        <v>26.5</v>
      </c>
      <c r="W5">
        <v>14.1</v>
      </c>
      <c r="X5">
        <v>7.7</v>
      </c>
      <c r="Y5">
        <v>6</v>
      </c>
      <c r="Z5">
        <v>4.5999999999999996</v>
      </c>
      <c r="AA5">
        <v>18.899999999999999</v>
      </c>
      <c r="AB5" s="57">
        <v>19.8</v>
      </c>
      <c r="AC5" s="57">
        <v>6.6</v>
      </c>
      <c r="AD5" s="63">
        <v>1</v>
      </c>
      <c r="AE5">
        <f t="shared" si="0"/>
        <v>4.5999999999999996</v>
      </c>
      <c r="AF5" s="66">
        <f t="shared" si="1"/>
        <v>19.2</v>
      </c>
      <c r="AG5">
        <f t="shared" si="2"/>
        <v>0.93004322001029494</v>
      </c>
      <c r="AH5" s="17">
        <f t="shared" si="3"/>
        <v>0.71708405381380436</v>
      </c>
      <c r="AJ5" s="70" t="s">
        <v>324</v>
      </c>
      <c r="AK5" s="42">
        <v>6</v>
      </c>
      <c r="AS5" s="70" t="s">
        <v>324</v>
      </c>
      <c r="AT5" s="42">
        <v>7</v>
      </c>
    </row>
    <row r="6" spans="1:47" ht="15" thickBot="1" x14ac:dyDescent="0.4">
      <c r="A6" s="57">
        <v>5</v>
      </c>
      <c r="B6" t="s">
        <v>240</v>
      </c>
      <c r="C6" s="57">
        <v>74</v>
      </c>
      <c r="D6" s="57">
        <v>47</v>
      </c>
      <c r="E6" s="57">
        <v>27</v>
      </c>
      <c r="F6" s="58">
        <v>0.63500000000000001</v>
      </c>
      <c r="G6" s="57">
        <v>48.1</v>
      </c>
      <c r="H6" s="57">
        <v>116.3</v>
      </c>
      <c r="I6">
        <v>42.5</v>
      </c>
      <c r="J6">
        <v>86.3</v>
      </c>
      <c r="K6" s="57">
        <v>3.6</v>
      </c>
      <c r="L6" s="57">
        <v>49.3</v>
      </c>
      <c r="M6">
        <v>12.8</v>
      </c>
      <c r="N6">
        <v>33.1</v>
      </c>
      <c r="O6" s="57">
        <v>38.700000000000003</v>
      </c>
      <c r="P6" s="57">
        <v>18.399999999999999</v>
      </c>
      <c r="Q6" s="57">
        <v>22.4</v>
      </c>
      <c r="R6" s="57">
        <v>82.2</v>
      </c>
      <c r="S6">
        <v>9.9</v>
      </c>
      <c r="T6">
        <v>32.5</v>
      </c>
      <c r="U6">
        <v>42.4</v>
      </c>
      <c r="V6">
        <v>25.7</v>
      </c>
      <c r="W6">
        <v>13</v>
      </c>
      <c r="X6">
        <v>7.8</v>
      </c>
      <c r="Y6">
        <v>5.2</v>
      </c>
      <c r="Z6">
        <v>4.5999999999999996</v>
      </c>
      <c r="AA6">
        <v>18.5</v>
      </c>
      <c r="AB6" s="57">
        <v>19.100000000000001</v>
      </c>
      <c r="AC6" s="57">
        <v>3.6</v>
      </c>
      <c r="AD6" s="63">
        <v>1</v>
      </c>
      <c r="AE6">
        <f t="shared" si="0"/>
        <v>4.5999999999999996</v>
      </c>
      <c r="AF6" s="66">
        <f t="shared" si="1"/>
        <v>16.400000000000002</v>
      </c>
      <c r="AG6">
        <f t="shared" si="2"/>
        <v>0.81333651140449892</v>
      </c>
      <c r="AH6" s="17">
        <f t="shared" si="3"/>
        <v>0.69282003856309815</v>
      </c>
      <c r="AJ6" s="73" t="s">
        <v>323</v>
      </c>
      <c r="AK6" s="30">
        <v>28</v>
      </c>
      <c r="AS6" s="73" t="s">
        <v>323</v>
      </c>
      <c r="AT6" s="30">
        <v>28</v>
      </c>
    </row>
    <row r="7" spans="1:47" ht="15" thickBot="1" x14ac:dyDescent="0.4">
      <c r="A7" s="57">
        <v>5</v>
      </c>
      <c r="B7" t="s">
        <v>239</v>
      </c>
      <c r="C7" s="57">
        <v>74</v>
      </c>
      <c r="D7" s="57">
        <v>47</v>
      </c>
      <c r="E7" s="57">
        <v>27</v>
      </c>
      <c r="F7" s="58">
        <v>0.63500000000000001</v>
      </c>
      <c r="G7" s="57">
        <v>48.3</v>
      </c>
      <c r="H7" s="57">
        <v>120.4</v>
      </c>
      <c r="I7">
        <v>43.5</v>
      </c>
      <c r="J7">
        <v>88.7</v>
      </c>
      <c r="K7" s="57">
        <v>3.5</v>
      </c>
      <c r="L7" s="57">
        <v>49.1</v>
      </c>
      <c r="M7">
        <v>14.3</v>
      </c>
      <c r="N7">
        <v>38.1</v>
      </c>
      <c r="O7" s="57">
        <v>37.6</v>
      </c>
      <c r="P7" s="57">
        <v>19</v>
      </c>
      <c r="Q7" s="57">
        <v>24.6</v>
      </c>
      <c r="R7" s="57">
        <v>77.2</v>
      </c>
      <c r="S7">
        <v>9.3000000000000007</v>
      </c>
      <c r="T7">
        <v>34.9</v>
      </c>
      <c r="U7">
        <v>44.2</v>
      </c>
      <c r="V7">
        <v>26.6</v>
      </c>
      <c r="W7">
        <v>12.7</v>
      </c>
      <c r="X7">
        <v>6.8</v>
      </c>
      <c r="Y7">
        <v>5</v>
      </c>
      <c r="Z7">
        <v>4.2</v>
      </c>
      <c r="AA7">
        <v>19.5</v>
      </c>
      <c r="AB7" s="57">
        <v>19.600000000000001</v>
      </c>
      <c r="AC7" s="57">
        <v>3.5</v>
      </c>
      <c r="AD7" s="63">
        <v>1</v>
      </c>
      <c r="AE7">
        <f t="shared" si="0"/>
        <v>4.2</v>
      </c>
      <c r="AF7" s="66">
        <f t="shared" si="1"/>
        <v>17.8</v>
      </c>
      <c r="AG7">
        <f t="shared" si="2"/>
        <v>0.96979093473027944</v>
      </c>
      <c r="AH7" s="17">
        <f t="shared" si="3"/>
        <v>0.72507782468575588</v>
      </c>
      <c r="AJ7" t="s">
        <v>304</v>
      </c>
      <c r="AK7">
        <f>1/(1+EXP(-AK4))</f>
        <v>0.72181489514518038</v>
      </c>
      <c r="AL7" t="s">
        <v>305</v>
      </c>
      <c r="AS7" t="s">
        <v>304</v>
      </c>
      <c r="AT7">
        <f>1/(1+EXP(-AT4))</f>
        <v>0.6700097859692552</v>
      </c>
    </row>
    <row r="8" spans="1:47" ht="15" thickBot="1" x14ac:dyDescent="0.4">
      <c r="A8" s="57">
        <v>7</v>
      </c>
      <c r="B8" t="s">
        <v>238</v>
      </c>
      <c r="C8" s="57">
        <v>74</v>
      </c>
      <c r="D8" s="57">
        <v>45</v>
      </c>
      <c r="E8" s="57">
        <v>29</v>
      </c>
      <c r="F8" s="58">
        <v>0.60799999999999998</v>
      </c>
      <c r="G8" s="57">
        <v>48</v>
      </c>
      <c r="H8" s="57">
        <v>118.7</v>
      </c>
      <c r="I8">
        <v>43.4</v>
      </c>
      <c r="J8">
        <v>89.7</v>
      </c>
      <c r="K8" s="57">
        <v>2.4</v>
      </c>
      <c r="L8" s="57">
        <v>48.4</v>
      </c>
      <c r="M8">
        <v>14.7</v>
      </c>
      <c r="N8">
        <v>39.4</v>
      </c>
      <c r="O8" s="57">
        <v>37.299999999999997</v>
      </c>
      <c r="P8" s="57">
        <v>17.2</v>
      </c>
      <c r="Q8" s="57">
        <v>22.8</v>
      </c>
      <c r="R8" s="57">
        <v>75.5</v>
      </c>
      <c r="S8">
        <v>9.6999999999999993</v>
      </c>
      <c r="T8">
        <v>32.9</v>
      </c>
      <c r="U8">
        <v>42.6</v>
      </c>
      <c r="V8">
        <v>25.8</v>
      </c>
      <c r="W8">
        <v>12.2</v>
      </c>
      <c r="X8">
        <v>6.9</v>
      </c>
      <c r="Y8">
        <v>4.8</v>
      </c>
      <c r="Z8">
        <v>4</v>
      </c>
      <c r="AA8">
        <v>18.5</v>
      </c>
      <c r="AB8" s="57">
        <v>20.5</v>
      </c>
      <c r="AC8" s="57">
        <v>2.4</v>
      </c>
      <c r="AD8" s="63">
        <v>1</v>
      </c>
      <c r="AE8">
        <f t="shared" si="0"/>
        <v>4</v>
      </c>
      <c r="AF8" s="66">
        <f t="shared" si="1"/>
        <v>17.099999999999998</v>
      </c>
      <c r="AG8">
        <f t="shared" si="2"/>
        <v>0.98966479209027181</v>
      </c>
      <c r="AH8" s="17">
        <f t="shared" si="3"/>
        <v>0.72902170742659622</v>
      </c>
    </row>
    <row r="9" spans="1:47" ht="15" thickBot="1" x14ac:dyDescent="0.4">
      <c r="A9" s="57">
        <v>8</v>
      </c>
      <c r="B9" t="s">
        <v>237</v>
      </c>
      <c r="C9" s="57">
        <v>75</v>
      </c>
      <c r="D9" s="57">
        <v>45</v>
      </c>
      <c r="E9" s="57">
        <v>30</v>
      </c>
      <c r="F9" s="58">
        <v>0.6</v>
      </c>
      <c r="G9" s="57">
        <v>48.3</v>
      </c>
      <c r="H9" s="57">
        <v>112.6</v>
      </c>
      <c r="I9">
        <v>41.7</v>
      </c>
      <c r="J9">
        <v>87.1</v>
      </c>
      <c r="K9" s="57">
        <v>2.8</v>
      </c>
      <c r="L9" s="57">
        <v>47.9</v>
      </c>
      <c r="M9">
        <v>13.6</v>
      </c>
      <c r="N9">
        <v>37.1</v>
      </c>
      <c r="O9" s="57">
        <v>36.6</v>
      </c>
      <c r="P9" s="57">
        <v>15.6</v>
      </c>
      <c r="Q9" s="57">
        <v>20.399999999999999</v>
      </c>
      <c r="R9" s="57">
        <v>76.400000000000006</v>
      </c>
      <c r="S9">
        <v>9.9</v>
      </c>
      <c r="T9">
        <v>33.700000000000003</v>
      </c>
      <c r="U9">
        <v>43.5</v>
      </c>
      <c r="V9">
        <v>28</v>
      </c>
      <c r="W9">
        <v>13.5</v>
      </c>
      <c r="X9">
        <v>7.2</v>
      </c>
      <c r="Y9">
        <v>4.7</v>
      </c>
      <c r="Z9">
        <v>4.9000000000000004</v>
      </c>
      <c r="AA9">
        <v>17.899999999999999</v>
      </c>
      <c r="AB9" s="57">
        <v>18.899999999999999</v>
      </c>
      <c r="AC9" s="57">
        <v>2.8</v>
      </c>
      <c r="AD9" s="63">
        <v>1</v>
      </c>
      <c r="AE9">
        <f t="shared" si="0"/>
        <v>4.9000000000000004</v>
      </c>
      <c r="AF9" s="66">
        <f t="shared" si="1"/>
        <v>16.399999999999999</v>
      </c>
      <c r="AG9">
        <f t="shared" si="2"/>
        <v>0.73976070963733664</v>
      </c>
      <c r="AH9" s="17">
        <f t="shared" si="3"/>
        <v>0.67694352780858269</v>
      </c>
      <c r="AJ9" t="s">
        <v>300</v>
      </c>
      <c r="AK9">
        <f>AK7/(1-AK7)</f>
        <v>2.5947287706934707</v>
      </c>
      <c r="AS9" t="s">
        <v>300</v>
      </c>
      <c r="AT9">
        <f>AT7/(1-AT7)</f>
        <v>2.0303928949445487</v>
      </c>
      <c r="AU9">
        <f>AT9/AK9</f>
        <v>0.78250679526781641</v>
      </c>
    </row>
    <row r="10" spans="1:47" ht="15" thickBot="1" x14ac:dyDescent="0.4">
      <c r="A10" s="57">
        <v>8</v>
      </c>
      <c r="B10" t="s">
        <v>236</v>
      </c>
      <c r="C10" s="57">
        <v>75</v>
      </c>
      <c r="D10" s="57">
        <v>45</v>
      </c>
      <c r="E10" s="57">
        <v>30</v>
      </c>
      <c r="F10" s="58">
        <v>0.6</v>
      </c>
      <c r="G10" s="57">
        <v>48.1</v>
      </c>
      <c r="H10" s="57">
        <v>115.2</v>
      </c>
      <c r="I10">
        <v>42.6</v>
      </c>
      <c r="J10">
        <v>87.6</v>
      </c>
      <c r="K10" s="57">
        <v>4.7</v>
      </c>
      <c r="L10" s="57">
        <v>48.7</v>
      </c>
      <c r="M10">
        <v>12.2</v>
      </c>
      <c r="N10">
        <v>32.299999999999997</v>
      </c>
      <c r="O10" s="57">
        <v>37.9</v>
      </c>
      <c r="P10" s="57">
        <v>17.7</v>
      </c>
      <c r="Q10" s="57">
        <v>23.2</v>
      </c>
      <c r="R10" s="57">
        <v>76.5</v>
      </c>
      <c r="S10">
        <v>10.6</v>
      </c>
      <c r="T10">
        <v>33.799999999999997</v>
      </c>
      <c r="U10">
        <v>44.3</v>
      </c>
      <c r="V10">
        <v>27</v>
      </c>
      <c r="W10">
        <v>13</v>
      </c>
      <c r="X10">
        <v>8.1999999999999993</v>
      </c>
      <c r="Y10">
        <v>4.8</v>
      </c>
      <c r="Z10">
        <v>5.3</v>
      </c>
      <c r="AA10">
        <v>18.600000000000001</v>
      </c>
      <c r="AB10" s="57">
        <v>18.600000000000001</v>
      </c>
      <c r="AC10" s="57">
        <v>4.7</v>
      </c>
      <c r="AD10" s="63">
        <v>1</v>
      </c>
      <c r="AE10">
        <f t="shared" si="0"/>
        <v>5.3</v>
      </c>
      <c r="AF10" s="66">
        <f t="shared" si="1"/>
        <v>16.899999999999999</v>
      </c>
      <c r="AG10">
        <f t="shared" si="2"/>
        <v>0.66250012429406058</v>
      </c>
      <c r="AH10" s="17">
        <f t="shared" si="3"/>
        <v>0.65982178287072968</v>
      </c>
    </row>
    <row r="11" spans="1:47" ht="15" thickBot="1" x14ac:dyDescent="0.4">
      <c r="A11" s="57">
        <v>10</v>
      </c>
      <c r="B11" t="s">
        <v>235</v>
      </c>
      <c r="C11" s="57">
        <v>74</v>
      </c>
      <c r="D11" s="57">
        <v>44</v>
      </c>
      <c r="E11" s="57">
        <v>30</v>
      </c>
      <c r="F11" s="58">
        <v>0.59499999999999997</v>
      </c>
      <c r="G11" s="57">
        <v>48.1</v>
      </c>
      <c r="H11" s="57">
        <v>112.6</v>
      </c>
      <c r="I11">
        <v>41.2</v>
      </c>
      <c r="J11">
        <v>89</v>
      </c>
      <c r="K11" s="57">
        <v>4.7</v>
      </c>
      <c r="L11" s="57">
        <v>46.3</v>
      </c>
      <c r="M11">
        <v>13.2</v>
      </c>
      <c r="N11">
        <v>36.200000000000003</v>
      </c>
      <c r="O11" s="57">
        <v>36.5</v>
      </c>
      <c r="P11" s="57">
        <v>17</v>
      </c>
      <c r="Q11" s="57">
        <v>21.9</v>
      </c>
      <c r="R11" s="57">
        <v>78</v>
      </c>
      <c r="S11">
        <v>12.9</v>
      </c>
      <c r="T11">
        <v>32.9</v>
      </c>
      <c r="U11">
        <v>45.8</v>
      </c>
      <c r="V11">
        <v>24.2</v>
      </c>
      <c r="W11">
        <v>13.3</v>
      </c>
      <c r="X11">
        <v>7.4</v>
      </c>
      <c r="Y11">
        <v>4.0999999999999996</v>
      </c>
      <c r="Z11">
        <v>5.2</v>
      </c>
      <c r="AA11">
        <v>17.8</v>
      </c>
      <c r="AB11" s="57">
        <v>19.100000000000001</v>
      </c>
      <c r="AC11" s="57">
        <v>4.7</v>
      </c>
      <c r="AD11" s="63">
        <v>1</v>
      </c>
      <c r="AE11">
        <f t="shared" si="0"/>
        <v>5.2</v>
      </c>
      <c r="AF11" s="66">
        <f t="shared" si="1"/>
        <v>17.899999999999999</v>
      </c>
      <c r="AG11">
        <f t="shared" si="2"/>
        <v>0.72870635890899405</v>
      </c>
      <c r="AH11" s="17">
        <f t="shared" si="3"/>
        <v>0.67452132777910123</v>
      </c>
    </row>
    <row r="12" spans="1:47" ht="15" thickBot="1" x14ac:dyDescent="0.4">
      <c r="A12" s="57">
        <v>11</v>
      </c>
      <c r="B12" t="s">
        <v>234</v>
      </c>
      <c r="C12" s="57">
        <v>75</v>
      </c>
      <c r="D12" s="57">
        <v>44</v>
      </c>
      <c r="E12" s="57">
        <v>31</v>
      </c>
      <c r="F12" s="58">
        <v>0.58699999999999997</v>
      </c>
      <c r="G12" s="57">
        <v>48.3</v>
      </c>
      <c r="H12" s="57">
        <v>110.4</v>
      </c>
      <c r="I12">
        <v>40.4</v>
      </c>
      <c r="J12">
        <v>84.7</v>
      </c>
      <c r="K12" s="57">
        <v>2.2000000000000002</v>
      </c>
      <c r="L12" s="57">
        <v>47.7</v>
      </c>
      <c r="M12">
        <v>11.1</v>
      </c>
      <c r="N12">
        <v>31.3</v>
      </c>
      <c r="O12" s="57">
        <v>35.5</v>
      </c>
      <c r="P12" s="57">
        <v>18.399999999999999</v>
      </c>
      <c r="Q12" s="57">
        <v>24.5</v>
      </c>
      <c r="R12" s="57">
        <v>75.3</v>
      </c>
      <c r="S12">
        <v>10.6</v>
      </c>
      <c r="T12">
        <v>31.9</v>
      </c>
      <c r="U12">
        <v>42.5</v>
      </c>
      <c r="V12">
        <v>24.7</v>
      </c>
      <c r="W12">
        <v>14.9</v>
      </c>
      <c r="X12">
        <v>8.1</v>
      </c>
      <c r="Y12">
        <v>5.3</v>
      </c>
      <c r="Z12">
        <v>4.5999999999999996</v>
      </c>
      <c r="AA12">
        <v>19.899999999999999</v>
      </c>
      <c r="AB12" s="57">
        <v>20.9</v>
      </c>
      <c r="AC12" s="57">
        <v>2.2000000000000002</v>
      </c>
      <c r="AD12" s="63">
        <v>1</v>
      </c>
      <c r="AE12">
        <f t="shared" si="0"/>
        <v>4.5999999999999996</v>
      </c>
      <c r="AF12" s="66">
        <f t="shared" si="1"/>
        <v>13.3</v>
      </c>
      <c r="AG12">
        <f t="shared" si="2"/>
        <v>0.6841255125909389</v>
      </c>
      <c r="AH12" s="17">
        <f t="shared" si="3"/>
        <v>0.6646588461989491</v>
      </c>
      <c r="AS12">
        <f>1-AU9</f>
        <v>0.21749320473218359</v>
      </c>
      <c r="AT12" t="s">
        <v>329</v>
      </c>
    </row>
    <row r="13" spans="1:47" ht="15" thickBot="1" x14ac:dyDescent="0.4">
      <c r="A13" s="57">
        <v>11</v>
      </c>
      <c r="B13" t="s">
        <v>233</v>
      </c>
      <c r="C13" s="57">
        <v>75</v>
      </c>
      <c r="D13" s="57">
        <v>44</v>
      </c>
      <c r="E13" s="57">
        <v>31</v>
      </c>
      <c r="F13" s="58">
        <v>0.58699999999999997</v>
      </c>
      <c r="G13" s="57">
        <v>48.3</v>
      </c>
      <c r="H13" s="57">
        <v>116.8</v>
      </c>
      <c r="I13">
        <v>42.7</v>
      </c>
      <c r="J13">
        <v>86.2</v>
      </c>
      <c r="K13" s="57">
        <v>2.7</v>
      </c>
      <c r="L13" s="57">
        <v>49.5</v>
      </c>
      <c r="M13">
        <v>12.3</v>
      </c>
      <c r="N13">
        <v>32.4</v>
      </c>
      <c r="O13" s="57">
        <v>38.1</v>
      </c>
      <c r="P13" s="57">
        <v>19</v>
      </c>
      <c r="Q13" s="57">
        <v>23.7</v>
      </c>
      <c r="R13" s="57">
        <v>80.400000000000006</v>
      </c>
      <c r="S13">
        <v>10.3</v>
      </c>
      <c r="T13">
        <v>34.1</v>
      </c>
      <c r="U13">
        <v>44.3</v>
      </c>
      <c r="V13">
        <v>27</v>
      </c>
      <c r="W13">
        <v>14.9</v>
      </c>
      <c r="X13">
        <v>7.2</v>
      </c>
      <c r="Y13">
        <v>6.1</v>
      </c>
      <c r="Z13">
        <v>4.5999999999999996</v>
      </c>
      <c r="AA13">
        <v>18.100000000000001</v>
      </c>
      <c r="AB13" s="57">
        <v>19.8</v>
      </c>
      <c r="AC13" s="57">
        <v>2.7</v>
      </c>
      <c r="AD13" s="63">
        <v>1</v>
      </c>
      <c r="AE13">
        <f t="shared" si="0"/>
        <v>4.5999999999999996</v>
      </c>
      <c r="AF13" s="66">
        <f t="shared" si="1"/>
        <v>15</v>
      </c>
      <c r="AG13">
        <f t="shared" si="2"/>
        <v>0.7549831571016008</v>
      </c>
      <c r="AH13" s="17">
        <f t="shared" si="3"/>
        <v>0.68026353329416855</v>
      </c>
      <c r="AS13">
        <v>1.0425618144393534</v>
      </c>
      <c r="AT13" t="s">
        <v>326</v>
      </c>
    </row>
    <row r="14" spans="1:47" ht="15" thickBot="1" x14ac:dyDescent="0.4">
      <c r="A14" s="57">
        <v>13</v>
      </c>
      <c r="B14" t="s">
        <v>232</v>
      </c>
      <c r="C14" s="57">
        <v>74</v>
      </c>
      <c r="D14" s="57">
        <v>43</v>
      </c>
      <c r="E14" s="57">
        <v>31</v>
      </c>
      <c r="F14" s="58">
        <v>0.58099999999999996</v>
      </c>
      <c r="G14" s="57">
        <v>48.5</v>
      </c>
      <c r="H14" s="57">
        <v>117.3</v>
      </c>
      <c r="I14">
        <v>43.7</v>
      </c>
      <c r="J14">
        <v>90.9</v>
      </c>
      <c r="K14" s="57">
        <v>1.2</v>
      </c>
      <c r="L14" s="57">
        <v>48.1</v>
      </c>
      <c r="M14">
        <v>14.2</v>
      </c>
      <c r="N14">
        <v>38.799999999999997</v>
      </c>
      <c r="O14" s="57">
        <v>36.700000000000003</v>
      </c>
      <c r="P14" s="57">
        <v>15.7</v>
      </c>
      <c r="Q14" s="57">
        <v>21</v>
      </c>
      <c r="R14" s="57">
        <v>74.5</v>
      </c>
      <c r="S14">
        <v>10.6</v>
      </c>
      <c r="T14">
        <v>33.1</v>
      </c>
      <c r="U14">
        <v>43.7</v>
      </c>
      <c r="V14">
        <v>28.6</v>
      </c>
      <c r="W14">
        <v>13.3</v>
      </c>
      <c r="X14">
        <v>7.6</v>
      </c>
      <c r="Y14">
        <v>4.0999999999999996</v>
      </c>
      <c r="Z14">
        <v>4.5999999999999996</v>
      </c>
      <c r="AA14">
        <v>20</v>
      </c>
      <c r="AB14" s="57">
        <v>18.5</v>
      </c>
      <c r="AC14" s="57">
        <v>1.2</v>
      </c>
      <c r="AD14" s="63">
        <v>1</v>
      </c>
      <c r="AE14">
        <f t="shared" si="0"/>
        <v>4.5999999999999996</v>
      </c>
      <c r="AF14" s="66">
        <f t="shared" si="1"/>
        <v>15.399999999999999</v>
      </c>
      <c r="AG14">
        <f t="shared" si="2"/>
        <v>0.77165554404528591</v>
      </c>
      <c r="AH14" s="17">
        <f t="shared" si="3"/>
        <v>0.68387891230177045</v>
      </c>
    </row>
    <row r="15" spans="1:47" ht="15" thickBot="1" x14ac:dyDescent="0.4">
      <c r="A15" s="57">
        <v>14</v>
      </c>
      <c r="B15" t="s">
        <v>231</v>
      </c>
      <c r="C15" s="57">
        <v>76</v>
      </c>
      <c r="D15" s="57">
        <v>43</v>
      </c>
      <c r="E15" s="57">
        <v>33</v>
      </c>
      <c r="F15" s="58">
        <v>0.56599999999999995</v>
      </c>
      <c r="G15" s="57">
        <v>48.1</v>
      </c>
      <c r="H15" s="57">
        <v>122.9</v>
      </c>
      <c r="I15">
        <v>46.8</v>
      </c>
      <c r="J15">
        <v>92.6</v>
      </c>
      <c r="K15" s="57">
        <v>2.5</v>
      </c>
      <c r="L15" s="57">
        <v>50.5</v>
      </c>
      <c r="M15">
        <v>13.2</v>
      </c>
      <c r="N15">
        <v>35.200000000000003</v>
      </c>
      <c r="O15" s="57">
        <v>37.6</v>
      </c>
      <c r="P15" s="57">
        <v>16.100000000000001</v>
      </c>
      <c r="Q15" s="57">
        <v>20.8</v>
      </c>
      <c r="R15" s="57">
        <v>77.8</v>
      </c>
      <c r="S15">
        <v>10</v>
      </c>
      <c r="T15">
        <v>31.5</v>
      </c>
      <c r="U15">
        <v>41.5</v>
      </c>
      <c r="V15">
        <v>30.6</v>
      </c>
      <c r="W15">
        <v>13</v>
      </c>
      <c r="X15">
        <v>7.7</v>
      </c>
      <c r="Y15">
        <v>5.9</v>
      </c>
      <c r="Z15">
        <v>5.4</v>
      </c>
      <c r="AA15">
        <v>21.4</v>
      </c>
      <c r="AB15" s="57">
        <v>18.399999999999999</v>
      </c>
      <c r="AC15" s="57">
        <v>2.5</v>
      </c>
      <c r="AD15" s="63">
        <v>1</v>
      </c>
      <c r="AE15">
        <f t="shared" si="0"/>
        <v>5.4</v>
      </c>
      <c r="AF15" s="66">
        <f t="shared" si="1"/>
        <v>15.7</v>
      </c>
      <c r="AG15">
        <f t="shared" si="2"/>
        <v>0.58795769620728433</v>
      </c>
      <c r="AH15" s="17">
        <f t="shared" si="3"/>
        <v>0.64289640928914071</v>
      </c>
    </row>
    <row r="16" spans="1:47" ht="15" thickBot="1" x14ac:dyDescent="0.4">
      <c r="A16" s="57">
        <v>15</v>
      </c>
      <c r="B16" t="s">
        <v>230</v>
      </c>
      <c r="C16" s="57">
        <v>75</v>
      </c>
      <c r="D16" s="57">
        <v>42</v>
      </c>
      <c r="E16" s="57">
        <v>33</v>
      </c>
      <c r="F16" s="58">
        <v>0.56000000000000005</v>
      </c>
      <c r="G16" s="57">
        <v>48.5</v>
      </c>
      <c r="H16" s="57">
        <v>117.7</v>
      </c>
      <c r="I16">
        <v>43.5</v>
      </c>
      <c r="J16">
        <v>87.4</v>
      </c>
      <c r="K16" s="57">
        <v>0.2</v>
      </c>
      <c r="L16" s="57">
        <v>49.8</v>
      </c>
      <c r="M16">
        <v>11.7</v>
      </c>
      <c r="N16">
        <v>31.1</v>
      </c>
      <c r="O16" s="57">
        <v>37.700000000000003</v>
      </c>
      <c r="P16" s="57">
        <v>18.899999999999999</v>
      </c>
      <c r="Q16" s="57">
        <v>24.2</v>
      </c>
      <c r="R16" s="57">
        <v>78</v>
      </c>
      <c r="S16">
        <v>8.1</v>
      </c>
      <c r="T16">
        <v>35.1</v>
      </c>
      <c r="U16">
        <v>43.2</v>
      </c>
      <c r="V16">
        <v>28.5</v>
      </c>
      <c r="W16">
        <v>13.8</v>
      </c>
      <c r="X16">
        <v>7.2</v>
      </c>
      <c r="Y16">
        <v>5.5</v>
      </c>
      <c r="Z16">
        <v>4.8</v>
      </c>
      <c r="AA16">
        <v>15.8</v>
      </c>
      <c r="AB16" s="57">
        <v>19.8</v>
      </c>
      <c r="AC16" s="57">
        <v>0.2</v>
      </c>
      <c r="AD16" s="63">
        <v>1</v>
      </c>
      <c r="AE16">
        <f t="shared" si="0"/>
        <v>4.8</v>
      </c>
      <c r="AF16" s="66">
        <f t="shared" si="1"/>
        <v>11.899999999999999</v>
      </c>
      <c r="AG16">
        <f t="shared" si="2"/>
        <v>0.57672162377659941</v>
      </c>
      <c r="AH16" s="17">
        <f t="shared" si="3"/>
        <v>0.64031270365592341</v>
      </c>
    </row>
    <row r="17" spans="1:34" ht="15" thickBot="1" x14ac:dyDescent="0.4">
      <c r="A17" s="57">
        <v>16</v>
      </c>
      <c r="B17" t="s">
        <v>229</v>
      </c>
      <c r="C17" s="57">
        <v>74</v>
      </c>
      <c r="D17" s="57">
        <v>41</v>
      </c>
      <c r="E17" s="57">
        <v>33</v>
      </c>
      <c r="F17" s="58">
        <v>0.55400000000000005</v>
      </c>
      <c r="G17" s="57">
        <v>48.1</v>
      </c>
      <c r="H17" s="57">
        <v>109.9</v>
      </c>
      <c r="I17">
        <v>39.799999999999997</v>
      </c>
      <c r="J17">
        <v>85.7</v>
      </c>
      <c r="K17" s="57">
        <v>1.4</v>
      </c>
      <c r="L17" s="57">
        <v>46.4</v>
      </c>
      <c r="M17">
        <v>12.4</v>
      </c>
      <c r="N17">
        <v>33.4</v>
      </c>
      <c r="O17" s="57">
        <v>37</v>
      </c>
      <c r="P17" s="57">
        <v>18</v>
      </c>
      <c r="Q17" s="57">
        <v>22.2</v>
      </c>
      <c r="R17" s="57">
        <v>81.3</v>
      </c>
      <c r="S17">
        <v>9.3000000000000007</v>
      </c>
      <c r="T17">
        <v>32.799999999999997</v>
      </c>
      <c r="U17">
        <v>42.1</v>
      </c>
      <c r="V17">
        <v>25.7</v>
      </c>
      <c r="W17">
        <v>12.5</v>
      </c>
      <c r="X17">
        <v>7.6</v>
      </c>
      <c r="Y17">
        <v>3.4</v>
      </c>
      <c r="Z17">
        <v>4.8</v>
      </c>
      <c r="AA17">
        <v>17.399999999999999</v>
      </c>
      <c r="AB17" s="57">
        <v>19</v>
      </c>
      <c r="AC17" s="57">
        <v>1.4</v>
      </c>
      <c r="AD17" s="63">
        <v>1</v>
      </c>
      <c r="AE17">
        <f t="shared" si="0"/>
        <v>4.8</v>
      </c>
      <c r="AF17" s="66">
        <f t="shared" si="1"/>
        <v>13.8</v>
      </c>
      <c r="AG17">
        <f t="shared" si="2"/>
        <v>0.65591546175910398</v>
      </c>
      <c r="AH17" s="17">
        <f t="shared" si="3"/>
        <v>0.65834225762117982</v>
      </c>
    </row>
    <row r="18" spans="1:34" ht="15" thickBot="1" x14ac:dyDescent="0.4">
      <c r="A18" s="57">
        <v>17</v>
      </c>
      <c r="B18" t="s">
        <v>228</v>
      </c>
      <c r="C18" s="57">
        <v>74</v>
      </c>
      <c r="D18" s="57">
        <v>40</v>
      </c>
      <c r="E18" s="57">
        <v>34</v>
      </c>
      <c r="F18" s="58">
        <v>0.54100000000000004</v>
      </c>
      <c r="G18" s="57">
        <v>48.4</v>
      </c>
      <c r="H18" s="57">
        <v>118</v>
      </c>
      <c r="I18">
        <v>43.7</v>
      </c>
      <c r="J18">
        <v>92.2</v>
      </c>
      <c r="K18" s="57">
        <v>2.1</v>
      </c>
      <c r="L18" s="57">
        <v>47.4</v>
      </c>
      <c r="M18">
        <v>14.7</v>
      </c>
      <c r="N18">
        <v>39.200000000000003</v>
      </c>
      <c r="O18" s="57">
        <v>37.5</v>
      </c>
      <c r="P18" s="57">
        <v>15.8</v>
      </c>
      <c r="Q18" s="57">
        <v>20.3</v>
      </c>
      <c r="R18" s="57">
        <v>77.8</v>
      </c>
      <c r="S18">
        <v>12.4</v>
      </c>
      <c r="T18">
        <v>34.4</v>
      </c>
      <c r="U18">
        <v>46.8</v>
      </c>
      <c r="V18">
        <v>29.2</v>
      </c>
      <c r="W18">
        <v>14.2</v>
      </c>
      <c r="X18">
        <v>6.9</v>
      </c>
      <c r="Y18">
        <v>4.4000000000000004</v>
      </c>
      <c r="Z18">
        <v>5</v>
      </c>
      <c r="AA18">
        <v>19.7</v>
      </c>
      <c r="AB18" s="57">
        <v>18.2</v>
      </c>
      <c r="AC18" s="57">
        <v>2.1</v>
      </c>
      <c r="AD18" s="63">
        <v>0</v>
      </c>
      <c r="AE18">
        <f t="shared" si="0"/>
        <v>5</v>
      </c>
      <c r="AF18" s="66">
        <f t="shared" si="1"/>
        <v>16.8</v>
      </c>
      <c r="AG18">
        <f t="shared" si="2"/>
        <v>0.7319078293253013</v>
      </c>
      <c r="AH18" s="17">
        <f t="shared" si="3"/>
        <v>0.67522379289265344</v>
      </c>
    </row>
    <row r="19" spans="1:34" ht="15" thickBot="1" x14ac:dyDescent="0.4">
      <c r="A19" s="57">
        <v>18</v>
      </c>
      <c r="B19" t="s">
        <v>227</v>
      </c>
      <c r="C19" s="57">
        <v>75</v>
      </c>
      <c r="D19" s="57">
        <v>40</v>
      </c>
      <c r="E19" s="57">
        <v>35</v>
      </c>
      <c r="F19" s="58">
        <v>0.53300000000000003</v>
      </c>
      <c r="G19" s="57">
        <v>48.1</v>
      </c>
      <c r="H19" s="57">
        <v>114.4</v>
      </c>
      <c r="I19">
        <v>41.4</v>
      </c>
      <c r="J19">
        <v>89.1</v>
      </c>
      <c r="K19" s="57">
        <v>2.2000000000000002</v>
      </c>
      <c r="L19" s="57">
        <v>46.4</v>
      </c>
      <c r="M19">
        <v>11.9</v>
      </c>
      <c r="N19">
        <v>32.9</v>
      </c>
      <c r="O19" s="57">
        <v>36.1</v>
      </c>
      <c r="P19" s="57">
        <v>19.7</v>
      </c>
      <c r="Q19" s="57">
        <v>23.9</v>
      </c>
      <c r="R19" s="57">
        <v>82.5</v>
      </c>
      <c r="S19">
        <v>11.1</v>
      </c>
      <c r="T19">
        <v>31.5</v>
      </c>
      <c r="U19">
        <v>42.7</v>
      </c>
      <c r="V19">
        <v>24.6</v>
      </c>
      <c r="W19">
        <v>11.8</v>
      </c>
      <c r="X19">
        <v>8.3000000000000007</v>
      </c>
      <c r="Y19">
        <v>6</v>
      </c>
      <c r="Z19">
        <v>6.1</v>
      </c>
      <c r="AA19">
        <v>20.5</v>
      </c>
      <c r="AB19" s="57">
        <v>18.7</v>
      </c>
      <c r="AC19" s="57">
        <v>2.2000000000000002</v>
      </c>
      <c r="AD19" s="63">
        <v>0</v>
      </c>
      <c r="AE19">
        <f t="shared" si="0"/>
        <v>6.1</v>
      </c>
      <c r="AF19" s="66">
        <f t="shared" si="1"/>
        <v>14.100000000000001</v>
      </c>
      <c r="AG19">
        <f t="shared" si="2"/>
        <v>0.34959127764249931</v>
      </c>
      <c r="AH19" s="17">
        <f t="shared" si="3"/>
        <v>0.58651846130271312</v>
      </c>
    </row>
    <row r="20" spans="1:34" ht="15" thickBot="1" x14ac:dyDescent="0.4">
      <c r="A20" s="57">
        <v>19</v>
      </c>
      <c r="B20" t="s">
        <v>226</v>
      </c>
      <c r="C20" s="57">
        <v>74</v>
      </c>
      <c r="D20" s="57">
        <v>38</v>
      </c>
      <c r="E20" s="57">
        <v>36</v>
      </c>
      <c r="F20" s="58">
        <v>0.51400000000000001</v>
      </c>
      <c r="G20" s="57">
        <v>48.4</v>
      </c>
      <c r="H20" s="57">
        <v>114.2</v>
      </c>
      <c r="I20">
        <v>41.7</v>
      </c>
      <c r="J20">
        <v>90.8</v>
      </c>
      <c r="K20" s="57">
        <v>1.6</v>
      </c>
      <c r="L20" s="57">
        <v>46</v>
      </c>
      <c r="M20">
        <v>12.5</v>
      </c>
      <c r="N20">
        <v>35.6</v>
      </c>
      <c r="O20" s="57">
        <v>35.299999999999997</v>
      </c>
      <c r="P20" s="57">
        <v>18.100000000000001</v>
      </c>
      <c r="Q20" s="57">
        <v>23.5</v>
      </c>
      <c r="R20" s="57">
        <v>77.2</v>
      </c>
      <c r="S20">
        <v>11.5</v>
      </c>
      <c r="T20">
        <v>34.5</v>
      </c>
      <c r="U20">
        <v>46</v>
      </c>
      <c r="V20">
        <v>24.7</v>
      </c>
      <c r="W20">
        <v>12.8</v>
      </c>
      <c r="X20">
        <v>7.8</v>
      </c>
      <c r="Y20">
        <v>4.5999999999999996</v>
      </c>
      <c r="Z20">
        <v>5.9</v>
      </c>
      <c r="AA20">
        <v>20.8</v>
      </c>
      <c r="AB20" s="57">
        <v>19.8</v>
      </c>
      <c r="AC20" s="57">
        <v>1.6</v>
      </c>
      <c r="AD20" s="63">
        <v>0</v>
      </c>
      <c r="AE20">
        <f t="shared" si="0"/>
        <v>5.9</v>
      </c>
      <c r="AF20" s="66">
        <f t="shared" si="1"/>
        <v>14.1</v>
      </c>
      <c r="AG20">
        <f t="shared" si="2"/>
        <v>0.39864181215394034</v>
      </c>
      <c r="AH20" s="17">
        <f t="shared" si="3"/>
        <v>0.59836129719336573</v>
      </c>
    </row>
    <row r="21" spans="1:34" ht="15" thickBot="1" x14ac:dyDescent="0.4">
      <c r="A21" s="57">
        <v>20</v>
      </c>
      <c r="B21" t="s">
        <v>225</v>
      </c>
      <c r="C21" s="57">
        <v>76</v>
      </c>
      <c r="D21" s="57">
        <v>36</v>
      </c>
      <c r="E21" s="57">
        <v>40</v>
      </c>
      <c r="F21" s="58">
        <v>0.47399999999999998</v>
      </c>
      <c r="G21" s="57">
        <v>48.7</v>
      </c>
      <c r="H21" s="57">
        <v>111.9</v>
      </c>
      <c r="I21">
        <v>41.7</v>
      </c>
      <c r="J21">
        <v>89.3</v>
      </c>
      <c r="K21" s="57">
        <v>-1.6</v>
      </c>
      <c r="L21" s="57">
        <v>46.7</v>
      </c>
      <c r="M21">
        <v>11.6</v>
      </c>
      <c r="N21">
        <v>32.299999999999997</v>
      </c>
      <c r="O21" s="57">
        <v>35.9</v>
      </c>
      <c r="P21" s="57">
        <v>16.899999999999999</v>
      </c>
      <c r="Q21" s="57">
        <v>21.3</v>
      </c>
      <c r="R21" s="57">
        <v>79.5</v>
      </c>
      <c r="S21">
        <v>11</v>
      </c>
      <c r="T21">
        <v>32.700000000000003</v>
      </c>
      <c r="U21">
        <v>43.7</v>
      </c>
      <c r="V21">
        <v>25</v>
      </c>
      <c r="W21">
        <v>12.1</v>
      </c>
      <c r="X21">
        <v>7.6</v>
      </c>
      <c r="Y21">
        <v>4.8</v>
      </c>
      <c r="Z21">
        <v>5</v>
      </c>
      <c r="AA21">
        <v>18.8</v>
      </c>
      <c r="AB21" s="57">
        <v>18.899999999999999</v>
      </c>
      <c r="AC21" s="57">
        <v>-1.6</v>
      </c>
      <c r="AD21" s="63">
        <v>0</v>
      </c>
      <c r="AE21">
        <f t="shared" si="0"/>
        <v>5</v>
      </c>
      <c r="AF21" s="66">
        <f t="shared" si="1"/>
        <v>10</v>
      </c>
      <c r="AG21">
        <f t="shared" si="2"/>
        <v>0.44847725128265359</v>
      </c>
      <c r="AH21" s="17">
        <f t="shared" si="3"/>
        <v>0.61027712586151761</v>
      </c>
    </row>
    <row r="22" spans="1:34" ht="15" thickBot="1" x14ac:dyDescent="0.4">
      <c r="A22" s="57">
        <v>21</v>
      </c>
      <c r="B22" t="s">
        <v>224</v>
      </c>
      <c r="C22" s="57">
        <v>75</v>
      </c>
      <c r="D22" s="57">
        <v>35</v>
      </c>
      <c r="E22" s="57">
        <v>40</v>
      </c>
      <c r="F22" s="58">
        <v>0.46700000000000003</v>
      </c>
      <c r="G22" s="57">
        <v>48.3</v>
      </c>
      <c r="H22" s="57">
        <v>119.1</v>
      </c>
      <c r="I22">
        <v>43.2</v>
      </c>
      <c r="J22">
        <v>92.6</v>
      </c>
      <c r="K22" s="57">
        <v>-1.2</v>
      </c>
      <c r="L22" s="57">
        <v>46.7</v>
      </c>
      <c r="M22">
        <v>13.8</v>
      </c>
      <c r="N22">
        <v>37.700000000000003</v>
      </c>
      <c r="O22" s="57">
        <v>36.700000000000003</v>
      </c>
      <c r="P22" s="57">
        <v>18.8</v>
      </c>
      <c r="Q22" s="57">
        <v>23.5</v>
      </c>
      <c r="R22" s="57">
        <v>80.099999999999994</v>
      </c>
      <c r="S22">
        <v>12.7</v>
      </c>
      <c r="T22">
        <v>32</v>
      </c>
      <c r="U22">
        <v>44.7</v>
      </c>
      <c r="V22">
        <v>26.4</v>
      </c>
      <c r="W22">
        <v>13.2</v>
      </c>
      <c r="X22">
        <v>7.5</v>
      </c>
      <c r="Y22">
        <v>4.5999999999999996</v>
      </c>
      <c r="Z22">
        <v>5.6</v>
      </c>
      <c r="AA22">
        <v>18.5</v>
      </c>
      <c r="AB22" s="57">
        <v>19.5</v>
      </c>
      <c r="AC22" s="57">
        <v>-1.2</v>
      </c>
      <c r="AD22" s="63">
        <v>0</v>
      </c>
      <c r="AE22">
        <f t="shared" si="0"/>
        <v>5.6</v>
      </c>
      <c r="AF22" s="66">
        <f t="shared" si="1"/>
        <v>12.600000000000001</v>
      </c>
      <c r="AG22">
        <f t="shared" si="2"/>
        <v>0.40969616288228328</v>
      </c>
      <c r="AH22" s="17">
        <f t="shared" si="3"/>
        <v>0.60101502217012004</v>
      </c>
    </row>
    <row r="23" spans="1:34" ht="15" thickBot="1" x14ac:dyDescent="0.4">
      <c r="A23" s="57">
        <v>22</v>
      </c>
      <c r="B23" t="s">
        <v>223</v>
      </c>
      <c r="C23" s="57">
        <v>75</v>
      </c>
      <c r="D23" s="57">
        <v>29</v>
      </c>
      <c r="E23" s="57">
        <v>46</v>
      </c>
      <c r="F23" s="58">
        <v>0.38700000000000001</v>
      </c>
      <c r="G23" s="57">
        <v>48.3</v>
      </c>
      <c r="H23" s="57">
        <v>116.2</v>
      </c>
      <c r="I23">
        <v>42.1</v>
      </c>
      <c r="J23">
        <v>90.1</v>
      </c>
      <c r="K23" s="57">
        <v>-4.4000000000000004</v>
      </c>
      <c r="L23" s="57">
        <v>46.8</v>
      </c>
      <c r="M23">
        <v>13</v>
      </c>
      <c r="N23">
        <v>36.700000000000003</v>
      </c>
      <c r="O23" s="57">
        <v>35.5</v>
      </c>
      <c r="P23" s="57">
        <v>18.899999999999999</v>
      </c>
      <c r="Q23" s="57">
        <v>22.7</v>
      </c>
      <c r="R23" s="57">
        <v>83.1</v>
      </c>
      <c r="S23">
        <v>12.3</v>
      </c>
      <c r="T23">
        <v>33.5</v>
      </c>
      <c r="U23">
        <v>45.8</v>
      </c>
      <c r="V23">
        <v>27.6</v>
      </c>
      <c r="W23">
        <v>15.6</v>
      </c>
      <c r="X23">
        <v>6.5</v>
      </c>
      <c r="Y23">
        <v>5.7</v>
      </c>
      <c r="Z23">
        <v>6.4</v>
      </c>
      <c r="AA23">
        <v>18.8</v>
      </c>
      <c r="AB23" s="57">
        <v>19.5</v>
      </c>
      <c r="AC23" s="57">
        <v>-4.4000000000000004</v>
      </c>
      <c r="AD23" s="63">
        <v>0</v>
      </c>
      <c r="AE23">
        <f t="shared" si="0"/>
        <v>6.4</v>
      </c>
      <c r="AF23" s="66">
        <f t="shared" si="1"/>
        <v>8.6</v>
      </c>
      <c r="AG23">
        <f t="shared" si="2"/>
        <v>4.6770155399666169E-2</v>
      </c>
      <c r="AH23" s="17">
        <f t="shared" si="3"/>
        <v>0.51169040791486875</v>
      </c>
    </row>
    <row r="24" spans="1:34" ht="15" thickBot="1" x14ac:dyDescent="0.4">
      <c r="A24" s="57">
        <v>23</v>
      </c>
      <c r="B24" t="s">
        <v>222</v>
      </c>
      <c r="C24" s="57">
        <v>76</v>
      </c>
      <c r="D24" s="57">
        <v>29</v>
      </c>
      <c r="E24" s="57">
        <v>47</v>
      </c>
      <c r="F24" s="58">
        <v>0.38200000000000001</v>
      </c>
      <c r="G24" s="57">
        <v>48.3</v>
      </c>
      <c r="H24" s="57">
        <v>111.1</v>
      </c>
      <c r="I24">
        <v>41</v>
      </c>
      <c r="J24">
        <v>89.6</v>
      </c>
      <c r="K24" s="57">
        <v>-2.6</v>
      </c>
      <c r="L24" s="57">
        <v>45.7</v>
      </c>
      <c r="M24">
        <v>13.5</v>
      </c>
      <c r="N24">
        <v>37.1</v>
      </c>
      <c r="O24" s="57">
        <v>36.5</v>
      </c>
      <c r="P24" s="57">
        <v>15.7</v>
      </c>
      <c r="Q24" s="57">
        <v>20.8</v>
      </c>
      <c r="R24" s="57">
        <v>75.5</v>
      </c>
      <c r="S24">
        <v>11.5</v>
      </c>
      <c r="T24">
        <v>32.299999999999997</v>
      </c>
      <c r="U24">
        <v>43.8</v>
      </c>
      <c r="V24">
        <v>26</v>
      </c>
      <c r="W24">
        <v>13</v>
      </c>
      <c r="X24">
        <v>7</v>
      </c>
      <c r="Y24">
        <v>5</v>
      </c>
      <c r="Z24">
        <v>4.9000000000000004</v>
      </c>
      <c r="AA24">
        <v>18.8</v>
      </c>
      <c r="AB24" s="57">
        <v>18.2</v>
      </c>
      <c r="AC24" s="57">
        <v>-2.6</v>
      </c>
      <c r="AD24" s="63">
        <v>0</v>
      </c>
      <c r="AE24">
        <f t="shared" si="0"/>
        <v>4.9000000000000004</v>
      </c>
      <c r="AF24" s="66">
        <f t="shared" si="1"/>
        <v>10.9</v>
      </c>
      <c r="AG24">
        <f t="shared" si="2"/>
        <v>0.51051538916166583</v>
      </c>
      <c r="AH24" s="17">
        <f t="shared" si="3"/>
        <v>0.6249272859453926</v>
      </c>
    </row>
    <row r="25" spans="1:34" ht="15" thickBot="1" x14ac:dyDescent="0.4">
      <c r="A25" s="57">
        <v>24</v>
      </c>
      <c r="B25" t="s">
        <v>221</v>
      </c>
      <c r="C25" s="57">
        <v>75</v>
      </c>
      <c r="D25" s="57">
        <v>25</v>
      </c>
      <c r="E25" s="57">
        <v>50</v>
      </c>
      <c r="F25" s="58">
        <v>0.33300000000000002</v>
      </c>
      <c r="G25" s="57">
        <v>48.3</v>
      </c>
      <c r="H25" s="57">
        <v>105.9</v>
      </c>
      <c r="I25">
        <v>38.200000000000003</v>
      </c>
      <c r="J25">
        <v>87.7</v>
      </c>
      <c r="K25" s="57">
        <v>-7.2</v>
      </c>
      <c r="L25" s="57">
        <v>43.5</v>
      </c>
      <c r="M25">
        <v>13.3</v>
      </c>
      <c r="N25">
        <v>38.4</v>
      </c>
      <c r="O25" s="57">
        <v>34.700000000000003</v>
      </c>
      <c r="P25" s="57">
        <v>16.2</v>
      </c>
      <c r="Q25" s="57">
        <v>21.3</v>
      </c>
      <c r="R25" s="57">
        <v>76.2</v>
      </c>
      <c r="S25">
        <v>10.6</v>
      </c>
      <c r="T25">
        <v>31.7</v>
      </c>
      <c r="U25">
        <v>42.3</v>
      </c>
      <c r="V25">
        <v>25</v>
      </c>
      <c r="W25">
        <v>15.1</v>
      </c>
      <c r="X25">
        <v>8</v>
      </c>
      <c r="Y25">
        <v>6.2</v>
      </c>
      <c r="Z25">
        <v>6.4</v>
      </c>
      <c r="AA25">
        <v>19.2</v>
      </c>
      <c r="AB25" s="57">
        <v>19</v>
      </c>
      <c r="AC25" s="57">
        <v>-7.2</v>
      </c>
      <c r="AD25" s="63">
        <v>0</v>
      </c>
      <c r="AE25">
        <f t="shared" si="0"/>
        <v>6.4</v>
      </c>
      <c r="AF25" s="66">
        <f t="shared" si="1"/>
        <v>6.1000000000000005</v>
      </c>
      <c r="AG25">
        <f t="shared" si="2"/>
        <v>-5.7432262998366013E-2</v>
      </c>
      <c r="AH25" s="17">
        <f t="shared" si="3"/>
        <v>0.48564587958030597</v>
      </c>
    </row>
    <row r="26" spans="1:34" ht="15" thickBot="1" x14ac:dyDescent="0.4">
      <c r="A26" s="57">
        <v>25</v>
      </c>
      <c r="B26" t="s">
        <v>220</v>
      </c>
      <c r="C26" s="57">
        <v>74</v>
      </c>
      <c r="D26" s="57">
        <v>23</v>
      </c>
      <c r="E26" s="57">
        <v>51</v>
      </c>
      <c r="F26" s="58">
        <v>0.311</v>
      </c>
      <c r="G26" s="57">
        <v>48.3</v>
      </c>
      <c r="H26" s="57">
        <v>112.7</v>
      </c>
      <c r="I26">
        <v>42.5</v>
      </c>
      <c r="J26">
        <v>89.8</v>
      </c>
      <c r="K26" s="57">
        <v>-5.7</v>
      </c>
      <c r="L26" s="57">
        <v>47.4</v>
      </c>
      <c r="M26">
        <v>11.6</v>
      </c>
      <c r="N26">
        <v>33.200000000000003</v>
      </c>
      <c r="O26" s="57">
        <v>35</v>
      </c>
      <c r="P26" s="57">
        <v>16</v>
      </c>
      <c r="Q26" s="57">
        <v>21.3</v>
      </c>
      <c r="R26" s="57">
        <v>74.900000000000006</v>
      </c>
      <c r="S26">
        <v>10.9</v>
      </c>
      <c r="T26">
        <v>31.6</v>
      </c>
      <c r="U26">
        <v>42.5</v>
      </c>
      <c r="V26">
        <v>29</v>
      </c>
      <c r="W26">
        <v>13.7</v>
      </c>
      <c r="X26">
        <v>7.8</v>
      </c>
      <c r="Y26">
        <v>4.8</v>
      </c>
      <c r="Z26">
        <v>5.5</v>
      </c>
      <c r="AA26">
        <v>18.2</v>
      </c>
      <c r="AB26" s="57">
        <v>18.100000000000001</v>
      </c>
      <c r="AC26" s="57">
        <v>-5.7</v>
      </c>
      <c r="AD26" s="63">
        <v>0</v>
      </c>
      <c r="AE26">
        <f t="shared" si="0"/>
        <v>5.5</v>
      </c>
      <c r="AF26" s="66">
        <f t="shared" si="1"/>
        <v>5.8999999999999995</v>
      </c>
      <c r="AG26">
        <f t="shared" si="2"/>
        <v>0.15495894883127739</v>
      </c>
      <c r="AH26" s="17">
        <f t="shared" si="3"/>
        <v>0.53866240379304597</v>
      </c>
    </row>
    <row r="27" spans="1:34" ht="15" thickBot="1" x14ac:dyDescent="0.4">
      <c r="A27" s="57">
        <v>26</v>
      </c>
      <c r="B27" t="s">
        <v>219</v>
      </c>
      <c r="C27" s="57">
        <v>75</v>
      </c>
      <c r="D27" s="57">
        <v>19</v>
      </c>
      <c r="E27" s="57">
        <v>56</v>
      </c>
      <c r="F27" s="58">
        <v>0.253</v>
      </c>
      <c r="G27" s="57">
        <v>48.5</v>
      </c>
      <c r="H27" s="57">
        <v>107.2</v>
      </c>
      <c r="I27">
        <v>39.5</v>
      </c>
      <c r="J27">
        <v>89.2</v>
      </c>
      <c r="K27" s="57">
        <v>-8.9</v>
      </c>
      <c r="L27" s="57">
        <v>44.3</v>
      </c>
      <c r="M27">
        <v>11.6</v>
      </c>
      <c r="N27">
        <v>33</v>
      </c>
      <c r="O27" s="57">
        <v>35.1</v>
      </c>
      <c r="P27" s="57">
        <v>16.5</v>
      </c>
      <c r="Q27" s="57">
        <v>20.8</v>
      </c>
      <c r="R27" s="57">
        <v>79.2</v>
      </c>
      <c r="S27">
        <v>12.2</v>
      </c>
      <c r="T27">
        <v>29.8</v>
      </c>
      <c r="U27">
        <v>41.9</v>
      </c>
      <c r="V27">
        <v>23.1</v>
      </c>
      <c r="W27">
        <v>15.3</v>
      </c>
      <c r="X27">
        <v>7.7</v>
      </c>
      <c r="Y27">
        <v>4.4000000000000004</v>
      </c>
      <c r="Z27">
        <v>6.4</v>
      </c>
      <c r="AA27">
        <v>20.399999999999999</v>
      </c>
      <c r="AB27" s="57">
        <v>18</v>
      </c>
      <c r="AC27" s="57">
        <v>-8.9</v>
      </c>
      <c r="AD27" s="63">
        <v>0</v>
      </c>
      <c r="AE27">
        <f t="shared" si="0"/>
        <v>6.4</v>
      </c>
      <c r="AF27" s="66">
        <f t="shared" si="1"/>
        <v>2.6999999999999993</v>
      </c>
      <c r="AG27">
        <f t="shared" si="2"/>
        <v>-0.19914755201968992</v>
      </c>
      <c r="AH27" s="17">
        <f t="shared" si="3"/>
        <v>0.45037700664088193</v>
      </c>
    </row>
    <row r="28" spans="1:34" ht="15" thickBot="1" x14ac:dyDescent="0.4">
      <c r="A28" s="57">
        <v>27</v>
      </c>
      <c r="B28" t="s">
        <v>218</v>
      </c>
      <c r="C28" s="57">
        <v>75</v>
      </c>
      <c r="D28" s="57">
        <v>18</v>
      </c>
      <c r="E28" s="57">
        <v>57</v>
      </c>
      <c r="F28" s="58">
        <v>0.24</v>
      </c>
      <c r="G28" s="57">
        <v>48.1</v>
      </c>
      <c r="H28" s="57">
        <v>106.3</v>
      </c>
      <c r="I28">
        <v>40.1</v>
      </c>
      <c r="J28">
        <v>87.5</v>
      </c>
      <c r="K28" s="57">
        <v>-10.6</v>
      </c>
      <c r="L28" s="57">
        <v>45.8</v>
      </c>
      <c r="M28">
        <v>11.9</v>
      </c>
      <c r="N28">
        <v>33.9</v>
      </c>
      <c r="O28" s="57">
        <v>35.1</v>
      </c>
      <c r="P28" s="57">
        <v>14.3</v>
      </c>
      <c r="Q28" s="57">
        <v>18.399999999999999</v>
      </c>
      <c r="R28" s="57">
        <v>77.900000000000006</v>
      </c>
      <c r="S28">
        <v>9.6999999999999993</v>
      </c>
      <c r="T28">
        <v>30.9</v>
      </c>
      <c r="U28">
        <v>40.6</v>
      </c>
      <c r="V28">
        <v>24.6</v>
      </c>
      <c r="W28">
        <v>13.7</v>
      </c>
      <c r="X28">
        <v>6.7</v>
      </c>
      <c r="Y28">
        <v>4.4000000000000004</v>
      </c>
      <c r="Z28">
        <v>5</v>
      </c>
      <c r="AA28">
        <v>18.100000000000001</v>
      </c>
      <c r="AB28" s="57">
        <v>17.5</v>
      </c>
      <c r="AC28" s="57">
        <v>-10.6</v>
      </c>
      <c r="AD28" s="63">
        <v>0</v>
      </c>
      <c r="AE28">
        <f t="shared" si="0"/>
        <v>5</v>
      </c>
      <c r="AF28" s="66">
        <f t="shared" si="1"/>
        <v>1.3000000000000007</v>
      </c>
      <c r="AG28">
        <f t="shared" si="2"/>
        <v>8.5852835257501425E-2</v>
      </c>
      <c r="AH28" s="17">
        <f t="shared" si="3"/>
        <v>0.52145003526802136</v>
      </c>
    </row>
    <row r="29" spans="1:34" ht="15" thickBot="1" x14ac:dyDescent="0.4">
      <c r="A29" s="57">
        <v>27</v>
      </c>
      <c r="B29" t="s">
        <v>217</v>
      </c>
      <c r="C29" s="57">
        <v>75</v>
      </c>
      <c r="D29" s="57">
        <v>18</v>
      </c>
      <c r="E29" s="57">
        <v>57</v>
      </c>
      <c r="F29" s="58">
        <v>0.24</v>
      </c>
      <c r="G29" s="57">
        <v>48.3</v>
      </c>
      <c r="H29" s="57">
        <v>112.2</v>
      </c>
      <c r="I29">
        <v>41.9</v>
      </c>
      <c r="J29">
        <v>90.5</v>
      </c>
      <c r="K29" s="57">
        <v>-7</v>
      </c>
      <c r="L29" s="57">
        <v>46.3</v>
      </c>
      <c r="M29">
        <v>12.5</v>
      </c>
      <c r="N29">
        <v>36</v>
      </c>
      <c r="O29" s="57">
        <v>34.799999999999997</v>
      </c>
      <c r="P29" s="57">
        <v>15.9</v>
      </c>
      <c r="Q29" s="57">
        <v>20.2</v>
      </c>
      <c r="R29" s="57">
        <v>78.400000000000006</v>
      </c>
      <c r="S29">
        <v>10.4</v>
      </c>
      <c r="T29">
        <v>33.299999999999997</v>
      </c>
      <c r="U29">
        <v>43.7</v>
      </c>
      <c r="V29">
        <v>29.8</v>
      </c>
      <c r="W29">
        <v>15</v>
      </c>
      <c r="X29">
        <v>7.2</v>
      </c>
      <c r="Y29">
        <v>6.2</v>
      </c>
      <c r="Z29">
        <v>4.5999999999999996</v>
      </c>
      <c r="AA29">
        <v>17.5</v>
      </c>
      <c r="AB29" s="57">
        <v>18.100000000000001</v>
      </c>
      <c r="AC29" s="57">
        <v>-7</v>
      </c>
      <c r="AD29" s="63">
        <v>0</v>
      </c>
      <c r="AE29">
        <f t="shared" si="0"/>
        <v>4.5999999999999996</v>
      </c>
      <c r="AF29" s="66">
        <f t="shared" si="1"/>
        <v>5.5</v>
      </c>
      <c r="AG29">
        <f t="shared" si="2"/>
        <v>0.3590139671890783</v>
      </c>
      <c r="AH29" s="17">
        <f t="shared" si="3"/>
        <v>0.58880172238140094</v>
      </c>
    </row>
    <row r="30" spans="1:34" ht="15" thickBot="1" x14ac:dyDescent="0.4">
      <c r="A30" s="57">
        <v>29</v>
      </c>
      <c r="B30" t="s">
        <v>216</v>
      </c>
      <c r="C30" s="57">
        <v>75</v>
      </c>
      <c r="D30" s="57">
        <v>14</v>
      </c>
      <c r="E30" s="57">
        <v>61</v>
      </c>
      <c r="F30" s="58">
        <v>0.187</v>
      </c>
      <c r="G30" s="57">
        <v>48.1</v>
      </c>
      <c r="H30" s="57">
        <v>113.3</v>
      </c>
      <c r="I30">
        <v>42.8</v>
      </c>
      <c r="J30">
        <v>91.4</v>
      </c>
      <c r="K30" s="57">
        <v>-9.6999999999999993</v>
      </c>
      <c r="L30" s="57">
        <v>46.9</v>
      </c>
      <c r="M30">
        <v>12.2</v>
      </c>
      <c r="N30">
        <v>35.200000000000003</v>
      </c>
      <c r="O30" s="57">
        <v>34.700000000000003</v>
      </c>
      <c r="P30" s="57">
        <v>15.4</v>
      </c>
      <c r="Q30" s="57">
        <v>20.100000000000001</v>
      </c>
      <c r="R30" s="57">
        <v>76.400000000000006</v>
      </c>
      <c r="S30">
        <v>9.4</v>
      </c>
      <c r="T30">
        <v>31.7</v>
      </c>
      <c r="U30">
        <v>41.1</v>
      </c>
      <c r="V30">
        <v>27.9</v>
      </c>
      <c r="W30">
        <v>14.1</v>
      </c>
      <c r="X30">
        <v>7.5</v>
      </c>
      <c r="Y30">
        <v>5.0999999999999996</v>
      </c>
      <c r="Z30">
        <v>6</v>
      </c>
      <c r="AA30">
        <v>19.899999999999999</v>
      </c>
      <c r="AB30" s="57">
        <v>17.899999999999999</v>
      </c>
      <c r="AC30" s="57">
        <v>-9.6999999999999993</v>
      </c>
      <c r="AD30" s="63">
        <v>0</v>
      </c>
      <c r="AE30">
        <f t="shared" si="0"/>
        <v>6</v>
      </c>
      <c r="AF30" s="66">
        <f t="shared" si="1"/>
        <v>2.5</v>
      </c>
      <c r="AG30">
        <f t="shared" si="2"/>
        <v>-0.10938267646864974</v>
      </c>
      <c r="AH30" s="17">
        <f t="shared" si="3"/>
        <v>0.47268156323179461</v>
      </c>
    </row>
    <row r="31" spans="1:34" x14ac:dyDescent="0.35">
      <c r="A31" s="57">
        <v>30</v>
      </c>
      <c r="B31" t="s">
        <v>215</v>
      </c>
      <c r="C31" s="57">
        <v>75</v>
      </c>
      <c r="D31" s="57">
        <v>13</v>
      </c>
      <c r="E31" s="57">
        <v>62</v>
      </c>
      <c r="F31" s="58">
        <v>0.17299999999999999</v>
      </c>
      <c r="G31" s="57">
        <v>48.2</v>
      </c>
      <c r="H31" s="57">
        <v>110.6</v>
      </c>
      <c r="I31">
        <v>41.1</v>
      </c>
      <c r="J31">
        <v>88.3</v>
      </c>
      <c r="K31" s="56">
        <v>-8.8000000000000007</v>
      </c>
      <c r="L31" s="57">
        <v>46.5</v>
      </c>
      <c r="M31">
        <v>11</v>
      </c>
      <c r="N31">
        <v>31.7</v>
      </c>
      <c r="O31" s="57">
        <v>34.799999999999997</v>
      </c>
      <c r="P31" s="57">
        <v>17.399999999999999</v>
      </c>
      <c r="Q31" s="57">
        <v>22.1</v>
      </c>
      <c r="R31" s="57">
        <v>78.8</v>
      </c>
      <c r="S31">
        <v>10.7</v>
      </c>
      <c r="T31">
        <v>33.1</v>
      </c>
      <c r="U31">
        <v>43.8</v>
      </c>
      <c r="V31">
        <v>25.7</v>
      </c>
      <c r="W31">
        <v>15.4</v>
      </c>
      <c r="X31">
        <v>6.3</v>
      </c>
      <c r="Y31">
        <v>4.8</v>
      </c>
      <c r="Z31">
        <v>6</v>
      </c>
      <c r="AA31">
        <v>21.2</v>
      </c>
      <c r="AB31" s="57">
        <v>18.100000000000001</v>
      </c>
      <c r="AC31" s="56">
        <v>-8.8000000000000007</v>
      </c>
      <c r="AD31" s="63">
        <v>0</v>
      </c>
      <c r="AE31">
        <f t="shared" si="0"/>
        <v>6</v>
      </c>
      <c r="AF31" s="66">
        <f t="shared" si="1"/>
        <v>2.1999999999999993</v>
      </c>
      <c r="AG31">
        <f t="shared" si="2"/>
        <v>-0.12188696667641365</v>
      </c>
      <c r="AH31" s="17">
        <f t="shared" si="3"/>
        <v>0.46956592748377124</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974DB-CC42-40E0-BC3D-DDF668991E14}">
  <sheetPr>
    <tabColor theme="6" tint="0.39997558519241921"/>
  </sheetPr>
  <dimension ref="A1:J21"/>
  <sheetViews>
    <sheetView topLeftCell="A2" workbookViewId="0">
      <selection activeCell="D21" sqref="D21"/>
    </sheetView>
  </sheetViews>
  <sheetFormatPr defaultRowHeight="14.5" x14ac:dyDescent="0.35"/>
  <cols>
    <col min="3" max="3" width="13.54296875" bestFit="1" customWidth="1"/>
  </cols>
  <sheetData>
    <row r="1" spans="1:9" x14ac:dyDescent="0.35">
      <c r="A1" t="s">
        <v>273</v>
      </c>
    </row>
    <row r="2" spans="1:9" ht="15" thickBot="1" x14ac:dyDescent="0.4"/>
    <row r="3" spans="1:9" x14ac:dyDescent="0.35">
      <c r="A3" s="65" t="s">
        <v>274</v>
      </c>
      <c r="B3" s="65"/>
    </row>
    <row r="4" spans="1:9" x14ac:dyDescent="0.35">
      <c r="A4" t="s">
        <v>275</v>
      </c>
      <c r="B4">
        <v>0.3939971555960784</v>
      </c>
    </row>
    <row r="5" spans="1:9" x14ac:dyDescent="0.35">
      <c r="A5" t="s">
        <v>276</v>
      </c>
      <c r="B5">
        <v>0.15523375861780042</v>
      </c>
    </row>
    <row r="6" spans="1:9" x14ac:dyDescent="0.35">
      <c r="A6" t="s">
        <v>277</v>
      </c>
      <c r="B6">
        <v>0.12506353571129328</v>
      </c>
    </row>
    <row r="7" spans="1:9" x14ac:dyDescent="0.35">
      <c r="A7" t="s">
        <v>278</v>
      </c>
      <c r="B7">
        <v>0.47462721972293148</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1</v>
      </c>
      <c r="C12">
        <v>1.1590787310129098</v>
      </c>
      <c r="D12">
        <v>1.1590787310129098</v>
      </c>
      <c r="E12">
        <v>5.1452638947629232</v>
      </c>
      <c r="F12">
        <v>3.1215495913478858E-2</v>
      </c>
    </row>
    <row r="13" spans="1:9" x14ac:dyDescent="0.35">
      <c r="A13" t="s">
        <v>282</v>
      </c>
      <c r="B13">
        <v>28</v>
      </c>
      <c r="C13">
        <v>6.307587935653757</v>
      </c>
      <c r="D13">
        <v>0.22527099770191988</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10" x14ac:dyDescent="0.35">
      <c r="A17" t="s">
        <v>284</v>
      </c>
      <c r="B17">
        <v>-4.3396460726482502</v>
      </c>
      <c r="C17">
        <v>2.1500263006249325</v>
      </c>
      <c r="D17">
        <v>-2.0184153428201679</v>
      </c>
      <c r="E17">
        <v>5.3219307748876482E-2</v>
      </c>
      <c r="F17">
        <v>-8.7437753018959725</v>
      </c>
      <c r="G17">
        <v>6.4483156599471236E-2</v>
      </c>
      <c r="H17">
        <v>-8.7437753018959725</v>
      </c>
      <c r="I17">
        <v>6.4483156599471236E-2</v>
      </c>
    </row>
    <row r="18" spans="1:10" ht="15" thickBot="1" x14ac:dyDescent="0.4">
      <c r="A18" s="29" t="s">
        <v>265</v>
      </c>
      <c r="B18" s="29">
        <v>0.11544608874630616</v>
      </c>
      <c r="C18" s="29">
        <v>5.0895032585694271E-2</v>
      </c>
      <c r="D18" s="29">
        <v>2.2683174149053613</v>
      </c>
      <c r="E18" s="29">
        <v>3.1215495913478608E-2</v>
      </c>
      <c r="F18" s="29">
        <v>1.1192340515868329E-2</v>
      </c>
      <c r="G18" s="29">
        <v>0.219699836976744</v>
      </c>
      <c r="H18" s="29">
        <v>1.1192340515868329E-2</v>
      </c>
      <c r="I18" s="29">
        <v>0.219699836976744</v>
      </c>
      <c r="J18">
        <v>45</v>
      </c>
    </row>
    <row r="20" spans="1:10" x14ac:dyDescent="0.35">
      <c r="C20" t="s">
        <v>297</v>
      </c>
      <c r="D20" t="s">
        <v>299</v>
      </c>
    </row>
    <row r="21" spans="1:10" x14ac:dyDescent="0.35">
      <c r="C21">
        <f>B17+J18*B18</f>
        <v>0.85542792093552666</v>
      </c>
      <c r="D21">
        <f>1/(1+EXP(-C21))</f>
        <v>0.70170453173708391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FE6E8-277A-456B-8C1F-7B210887A0D3}">
  <sheetPr>
    <tabColor theme="6" tint="0.39997558519241921"/>
  </sheetPr>
  <dimension ref="A1:K23"/>
  <sheetViews>
    <sheetView topLeftCell="A7" workbookViewId="0">
      <selection activeCell="H22" sqref="H22"/>
    </sheetView>
  </sheetViews>
  <sheetFormatPr defaultRowHeight="14.5" x14ac:dyDescent="0.35"/>
  <sheetData>
    <row r="1" spans="1:9" x14ac:dyDescent="0.35">
      <c r="A1" t="s">
        <v>273</v>
      </c>
    </row>
    <row r="2" spans="1:9" ht="15" thickBot="1" x14ac:dyDescent="0.4"/>
    <row r="3" spans="1:9" x14ac:dyDescent="0.35">
      <c r="A3" s="65" t="s">
        <v>274</v>
      </c>
      <c r="B3" s="65"/>
    </row>
    <row r="4" spans="1:9" x14ac:dyDescent="0.35">
      <c r="A4" t="s">
        <v>275</v>
      </c>
      <c r="B4">
        <v>0.82429917673484976</v>
      </c>
    </row>
    <row r="5" spans="1:9" x14ac:dyDescent="0.35">
      <c r="A5" t="s">
        <v>276</v>
      </c>
      <c r="B5">
        <v>0.67946913276575105</v>
      </c>
    </row>
    <row r="6" spans="1:9" x14ac:dyDescent="0.35">
      <c r="A6" t="s">
        <v>277</v>
      </c>
      <c r="B6">
        <v>0.65572610556321409</v>
      </c>
    </row>
    <row r="7" spans="1:9" x14ac:dyDescent="0.35">
      <c r="A7" t="s">
        <v>278</v>
      </c>
      <c r="B7">
        <v>0.29772577128873362</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5.0733695246509409</v>
      </c>
      <c r="D12">
        <v>2.5366847623254705</v>
      </c>
      <c r="E12">
        <v>28.61762853445871</v>
      </c>
      <c r="F12">
        <v>2.1342391921188573E-7</v>
      </c>
    </row>
    <row r="13" spans="1:9" x14ac:dyDescent="0.35">
      <c r="A13" t="s">
        <v>282</v>
      </c>
      <c r="B13">
        <v>27</v>
      </c>
      <c r="C13">
        <v>2.3932971420157254</v>
      </c>
      <c r="D13">
        <v>8.8640634889471312E-2</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11" x14ac:dyDescent="0.35">
      <c r="A17" t="s">
        <v>284</v>
      </c>
      <c r="B17">
        <v>-5.6392191497401605</v>
      </c>
      <c r="C17">
        <v>2.0756532662890015</v>
      </c>
      <c r="D17">
        <v>-2.7168406406443557</v>
      </c>
      <c r="E17">
        <v>1.1361230350118112E-2</v>
      </c>
      <c r="F17">
        <v>-9.898107863143915</v>
      </c>
      <c r="G17">
        <v>-1.380330436336406</v>
      </c>
      <c r="H17">
        <v>-9.898107863143915</v>
      </c>
      <c r="I17">
        <v>-1.380330436336406</v>
      </c>
    </row>
    <row r="18" spans="1:11" x14ac:dyDescent="0.35">
      <c r="A18" t="s">
        <v>246</v>
      </c>
      <c r="B18">
        <v>4.3173771425781438E-2</v>
      </c>
      <c r="C18">
        <v>1.3263854258427174E-2</v>
      </c>
      <c r="D18">
        <v>3.2549944069500789</v>
      </c>
      <c r="E18">
        <v>3.0479938754905951E-3</v>
      </c>
      <c r="F18">
        <v>1.5958590492193569E-2</v>
      </c>
      <c r="G18">
        <v>7.0388952359369303E-2</v>
      </c>
      <c r="H18">
        <v>1.5958590492193569E-2</v>
      </c>
      <c r="I18">
        <v>7.0388952359369303E-2</v>
      </c>
      <c r="K18">
        <v>4</v>
      </c>
    </row>
    <row r="19" spans="1:11" ht="15" thickBot="1" x14ac:dyDescent="0.4">
      <c r="A19" s="29" t="s">
        <v>263</v>
      </c>
      <c r="B19" s="29">
        <v>0.12996674553293822</v>
      </c>
      <c r="C19" s="29">
        <v>4.369402079369241E-2</v>
      </c>
      <c r="D19" s="29">
        <v>2.9744743828130367</v>
      </c>
      <c r="E19" s="29">
        <v>6.116165040652051E-3</v>
      </c>
      <c r="F19" s="29">
        <v>4.031402028071597E-2</v>
      </c>
      <c r="G19" s="29">
        <v>0.21961947078516048</v>
      </c>
      <c r="H19" s="29">
        <v>4.031402028071597E-2</v>
      </c>
      <c r="I19" s="29">
        <v>0.21961947078516048</v>
      </c>
      <c r="K19">
        <v>48.6</v>
      </c>
    </row>
    <row r="22" spans="1:11" x14ac:dyDescent="0.35">
      <c r="F22" t="s">
        <v>298</v>
      </c>
    </row>
    <row r="23" spans="1:11" x14ac:dyDescent="0.35">
      <c r="D23">
        <f>K18*B18+K19*B19+B17</f>
        <v>0.84985976886376235</v>
      </c>
      <c r="F23">
        <f>1/(1+EXP(-D23))</f>
        <v>0.70053772496554034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D9420-3ECD-4336-AE48-DDACBE98F0B6}">
  <sheetPr>
    <tabColor theme="6" tint="0.39997558519241921"/>
  </sheetPr>
  <dimension ref="A1:M24"/>
  <sheetViews>
    <sheetView topLeftCell="A3" workbookViewId="0">
      <selection activeCell="L17" sqref="L17"/>
    </sheetView>
  </sheetViews>
  <sheetFormatPr defaultRowHeight="14.5" x14ac:dyDescent="0.35"/>
  <cols>
    <col min="1" max="1" width="17.26953125" bestFit="1" customWidth="1"/>
  </cols>
  <sheetData>
    <row r="1" spans="1:9" x14ac:dyDescent="0.35">
      <c r="A1" t="s">
        <v>273</v>
      </c>
    </row>
    <row r="2" spans="1:9" ht="15" thickBot="1" x14ac:dyDescent="0.4"/>
    <row r="3" spans="1:9" x14ac:dyDescent="0.35">
      <c r="A3" s="65" t="s">
        <v>274</v>
      </c>
      <c r="B3" s="65"/>
    </row>
    <row r="4" spans="1:9" x14ac:dyDescent="0.35">
      <c r="A4" t="s">
        <v>275</v>
      </c>
      <c r="B4">
        <v>0.7727869175654738</v>
      </c>
    </row>
    <row r="5" spans="1:9" x14ac:dyDescent="0.35">
      <c r="A5" t="s">
        <v>276</v>
      </c>
      <c r="B5">
        <v>0.59719961996034643</v>
      </c>
    </row>
    <row r="6" spans="1:9" x14ac:dyDescent="0.35">
      <c r="A6" t="s">
        <v>277</v>
      </c>
      <c r="B6">
        <v>0.56736255477222397</v>
      </c>
    </row>
    <row r="7" spans="1:9" x14ac:dyDescent="0.35">
      <c r="A7" t="s">
        <v>278</v>
      </c>
      <c r="B7">
        <v>0.33375396632198584</v>
      </c>
    </row>
    <row r="8" spans="1:9" ht="15" thickBot="1" x14ac:dyDescent="0.4">
      <c r="A8" s="29" t="s">
        <v>279</v>
      </c>
      <c r="B8" s="29">
        <v>30</v>
      </c>
    </row>
    <row r="10" spans="1:9" ht="15" thickBot="1" x14ac:dyDescent="0.4">
      <c r="A10" t="s">
        <v>280</v>
      </c>
    </row>
    <row r="11" spans="1:9" x14ac:dyDescent="0.35">
      <c r="A11" s="64"/>
      <c r="B11" s="64" t="s">
        <v>285</v>
      </c>
      <c r="C11" s="64" t="s">
        <v>286</v>
      </c>
      <c r="D11" s="64" t="s">
        <v>287</v>
      </c>
      <c r="E11" s="64" t="s">
        <v>206</v>
      </c>
      <c r="F11" s="64" t="s">
        <v>288</v>
      </c>
    </row>
    <row r="12" spans="1:9" x14ac:dyDescent="0.35">
      <c r="A12" t="s">
        <v>281</v>
      </c>
      <c r="B12">
        <v>2</v>
      </c>
      <c r="C12">
        <v>4.4590904957039204</v>
      </c>
      <c r="D12">
        <v>2.2295452478519602</v>
      </c>
      <c r="E12">
        <v>20.0153606326563</v>
      </c>
      <c r="F12">
        <v>4.6635138090738858E-6</v>
      </c>
    </row>
    <row r="13" spans="1:9" x14ac:dyDescent="0.35">
      <c r="A13" t="s">
        <v>282</v>
      </c>
      <c r="B13">
        <v>27</v>
      </c>
      <c r="C13">
        <v>3.007576170962746</v>
      </c>
      <c r="D13">
        <v>0.11139171003565726</v>
      </c>
    </row>
    <row r="14" spans="1:9" ht="15" thickBot="1" x14ac:dyDescent="0.4">
      <c r="A14" s="29" t="s">
        <v>283</v>
      </c>
      <c r="B14" s="29">
        <v>29</v>
      </c>
      <c r="C14" s="29">
        <v>7.4666666666666668</v>
      </c>
      <c r="D14" s="29"/>
      <c r="E14" s="29"/>
      <c r="F14" s="29"/>
    </row>
    <row r="15" spans="1:9" ht="15" thickBot="1" x14ac:dyDescent="0.4"/>
    <row r="16" spans="1:9" x14ac:dyDescent="0.35">
      <c r="A16" s="64"/>
      <c r="B16" s="64" t="s">
        <v>289</v>
      </c>
      <c r="C16" s="64" t="s">
        <v>278</v>
      </c>
      <c r="D16" s="64" t="s">
        <v>290</v>
      </c>
      <c r="E16" s="64" t="s">
        <v>291</v>
      </c>
      <c r="F16" s="64" t="s">
        <v>292</v>
      </c>
      <c r="G16" s="64" t="s">
        <v>293</v>
      </c>
      <c r="H16" s="64" t="s">
        <v>294</v>
      </c>
      <c r="I16" s="64" t="s">
        <v>295</v>
      </c>
    </row>
    <row r="17" spans="1:13" x14ac:dyDescent="0.35">
      <c r="A17" t="s">
        <v>284</v>
      </c>
      <c r="B17">
        <v>1.2579309404765582</v>
      </c>
      <c r="C17">
        <v>0.68174412978562471</v>
      </c>
      <c r="D17">
        <v>1.8451657821712615</v>
      </c>
      <c r="E17">
        <v>7.6008878003066022E-2</v>
      </c>
      <c r="F17">
        <v>-0.14089246944888334</v>
      </c>
      <c r="G17">
        <v>2.6567543504019997</v>
      </c>
      <c r="H17">
        <v>-0.14089246944888334</v>
      </c>
      <c r="I17">
        <v>2.6567543504019997</v>
      </c>
      <c r="L17">
        <v>3.7</v>
      </c>
      <c r="M17">
        <f>K19+K20</f>
        <v>28</v>
      </c>
    </row>
    <row r="18" spans="1:13" x14ac:dyDescent="0.35">
      <c r="A18" t="s">
        <v>324</v>
      </c>
      <c r="B18">
        <v>-0.2452526725572067</v>
      </c>
      <c r="C18">
        <v>0.11051144487610122</v>
      </c>
      <c r="D18">
        <v>-2.2192513438962744</v>
      </c>
      <c r="E18">
        <v>3.5061782996059519E-2</v>
      </c>
      <c r="F18">
        <v>-0.47200342757432012</v>
      </c>
      <c r="G18">
        <v>-1.8501917540093282E-2</v>
      </c>
      <c r="H18">
        <v>-0.47200342757432012</v>
      </c>
      <c r="I18">
        <v>-1.8501917540093282E-2</v>
      </c>
    </row>
    <row r="19" spans="1:13" ht="15" thickBot="1" x14ac:dyDescent="0.4">
      <c r="A19" s="29" t="s">
        <v>323</v>
      </c>
      <c r="B19" s="29">
        <v>4.1680967359212895E-2</v>
      </c>
      <c r="C19" s="29">
        <v>1.258565156211937E-2</v>
      </c>
      <c r="D19" s="29">
        <v>3.3117846266033126</v>
      </c>
      <c r="E19" s="29">
        <v>2.6407622607941945E-3</v>
      </c>
      <c r="F19" s="29">
        <v>1.5857343414268591E-2</v>
      </c>
      <c r="G19" s="29">
        <v>6.7504591304157202E-2</v>
      </c>
      <c r="H19" s="29">
        <v>1.5857343414268591E-2</v>
      </c>
      <c r="I19" s="29">
        <v>6.7504591304157202E-2</v>
      </c>
      <c r="K19">
        <v>16.600000000000001</v>
      </c>
    </row>
    <row r="20" spans="1:13" x14ac:dyDescent="0.35">
      <c r="K20">
        <v>11.4</v>
      </c>
    </row>
    <row r="23" spans="1:13" x14ac:dyDescent="0.35">
      <c r="D23" t="s">
        <v>281</v>
      </c>
      <c r="F23" t="s">
        <v>325</v>
      </c>
    </row>
    <row r="24" spans="1:13" x14ac:dyDescent="0.35">
      <c r="D24">
        <f>B17+B18*L17+B19*M17</f>
        <v>1.5175631380728545</v>
      </c>
      <c r="F24">
        <f>1/(1+EXP(-D24))</f>
        <v>0.82017935995435254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K348"/>
  <sheetViews>
    <sheetView topLeftCell="A13" workbookViewId="0">
      <selection activeCell="P14" sqref="P14"/>
    </sheetView>
  </sheetViews>
  <sheetFormatPr defaultRowHeight="14.5" x14ac:dyDescent="0.35"/>
  <cols>
    <col min="3" max="3" width="10.6328125" bestFit="1" customWidth="1"/>
    <col min="4" max="4" width="7.6328125" bestFit="1" customWidth="1"/>
  </cols>
  <sheetData>
    <row r="1" spans="1:37" x14ac:dyDescent="0.35">
      <c r="A1" s="5" t="s">
        <v>12</v>
      </c>
      <c r="B1" t="s">
        <v>13</v>
      </c>
      <c r="C1" t="s">
        <v>14</v>
      </c>
      <c r="D1" t="s">
        <v>15</v>
      </c>
      <c r="E1">
        <v>1</v>
      </c>
      <c r="F1">
        <f>E1+1</f>
        <v>2</v>
      </c>
      <c r="G1">
        <f t="shared" ref="G1:T1" si="0">F1+1</f>
        <v>3</v>
      </c>
      <c r="H1">
        <f t="shared" si="0"/>
        <v>4</v>
      </c>
      <c r="I1">
        <f t="shared" si="0"/>
        <v>5</v>
      </c>
      <c r="J1">
        <f t="shared" si="0"/>
        <v>6</v>
      </c>
      <c r="K1">
        <f t="shared" si="0"/>
        <v>7</v>
      </c>
      <c r="L1">
        <f t="shared" si="0"/>
        <v>8</v>
      </c>
      <c r="M1">
        <f t="shared" si="0"/>
        <v>9</v>
      </c>
      <c r="N1">
        <f t="shared" si="0"/>
        <v>10</v>
      </c>
      <c r="O1">
        <f t="shared" si="0"/>
        <v>11</v>
      </c>
      <c r="P1">
        <f t="shared" si="0"/>
        <v>12</v>
      </c>
      <c r="Q1">
        <f t="shared" si="0"/>
        <v>13</v>
      </c>
      <c r="R1">
        <f t="shared" si="0"/>
        <v>14</v>
      </c>
      <c r="S1">
        <f t="shared" si="0"/>
        <v>15</v>
      </c>
      <c r="T1">
        <f t="shared" si="0"/>
        <v>16</v>
      </c>
    </row>
    <row r="2" spans="1:37" x14ac:dyDescent="0.35">
      <c r="A2" s="6"/>
      <c r="B2" t="s">
        <v>16</v>
      </c>
      <c r="C2">
        <v>1</v>
      </c>
      <c r="D2" t="s">
        <v>17</v>
      </c>
      <c r="E2">
        <v>0.5</v>
      </c>
      <c r="F2">
        <v>0.46500000000000002</v>
      </c>
      <c r="G2">
        <v>0.39400000000000002</v>
      </c>
      <c r="H2">
        <v>0.314</v>
      </c>
      <c r="I2">
        <v>0.16</v>
      </c>
      <c r="J2">
        <v>0.313</v>
      </c>
      <c r="K2">
        <v>0.16700000000000001</v>
      </c>
      <c r="L2">
        <v>0.19500000000000001</v>
      </c>
      <c r="M2">
        <v>9.6000000000000002E-2</v>
      </c>
      <c r="N2">
        <v>0.14299999999999999</v>
      </c>
      <c r="O2">
        <v>9.9999999999999995E-7</v>
      </c>
      <c r="P2">
        <v>9.9999999999999995E-7</v>
      </c>
      <c r="Q2">
        <v>9.9999999999999995E-7</v>
      </c>
      <c r="R2">
        <v>9.9999999999999995E-7</v>
      </c>
      <c r="S2">
        <v>0.99999899999999997</v>
      </c>
      <c r="T2">
        <v>9.9999999999999995E-7</v>
      </c>
      <c r="V2">
        <f>IF(E2=1,0.999999,IF(E2=0,0.000001,E2))</f>
        <v>0.5</v>
      </c>
      <c r="W2">
        <f t="shared" ref="W2:AK17" si="1">IF(F2=1,0.999999,IF(F2=0,0.000001,F2))</f>
        <v>0.46500000000000002</v>
      </c>
      <c r="X2">
        <f t="shared" si="1"/>
        <v>0.39400000000000002</v>
      </c>
      <c r="Y2">
        <f t="shared" si="1"/>
        <v>0.314</v>
      </c>
      <c r="Z2">
        <f t="shared" si="1"/>
        <v>0.16</v>
      </c>
      <c r="AA2">
        <f t="shared" si="1"/>
        <v>0.313</v>
      </c>
      <c r="AB2">
        <f t="shared" si="1"/>
        <v>0.16700000000000001</v>
      </c>
      <c r="AC2">
        <f t="shared" si="1"/>
        <v>0.19500000000000001</v>
      </c>
      <c r="AD2">
        <f t="shared" si="1"/>
        <v>9.6000000000000002E-2</v>
      </c>
      <c r="AE2">
        <f t="shared" si="1"/>
        <v>0.14299999999999999</v>
      </c>
      <c r="AF2">
        <f t="shared" si="1"/>
        <v>9.9999999999999995E-7</v>
      </c>
      <c r="AG2">
        <f t="shared" si="1"/>
        <v>9.9999999999999995E-7</v>
      </c>
      <c r="AH2">
        <f t="shared" si="1"/>
        <v>9.9999999999999995E-7</v>
      </c>
      <c r="AI2">
        <f t="shared" si="1"/>
        <v>9.9999999999999995E-7</v>
      </c>
      <c r="AJ2">
        <f t="shared" si="1"/>
        <v>0.99999899999999997</v>
      </c>
      <c r="AK2">
        <f t="shared" si="1"/>
        <v>9.9999999999999995E-7</v>
      </c>
    </row>
    <row r="3" spans="1:37" x14ac:dyDescent="0.35">
      <c r="A3" s="6"/>
      <c r="B3" t="s">
        <v>16</v>
      </c>
      <c r="C3">
        <f>C2+1</f>
        <v>2</v>
      </c>
      <c r="D3" t="s">
        <v>18</v>
      </c>
      <c r="E3">
        <v>0.53500000000000003</v>
      </c>
      <c r="F3">
        <v>0.5</v>
      </c>
      <c r="G3">
        <v>0.38300000000000001</v>
      </c>
      <c r="H3">
        <v>0.55600000000000005</v>
      </c>
      <c r="I3">
        <v>0.8</v>
      </c>
      <c r="J3">
        <v>0.27800000000000002</v>
      </c>
      <c r="K3">
        <v>0.27800000000000002</v>
      </c>
      <c r="L3">
        <v>0.55600000000000005</v>
      </c>
      <c r="M3">
        <v>0.5</v>
      </c>
      <c r="N3">
        <v>0.40699999999999997</v>
      </c>
      <c r="O3">
        <v>7.0999999999999994E-2</v>
      </c>
      <c r="P3">
        <v>9.9999999999999995E-7</v>
      </c>
      <c r="Q3">
        <v>9.9999999999999995E-7</v>
      </c>
      <c r="R3">
        <v>9.9999999999999995E-7</v>
      </c>
      <c r="S3">
        <v>7.0000000000000007E-2</v>
      </c>
      <c r="T3">
        <v>9.9999999999999995E-7</v>
      </c>
      <c r="V3">
        <f t="shared" ref="V3:V17" si="2">IF(E3=1,0.999999,IF(E3=0,0.000001,E3))</f>
        <v>0.53500000000000003</v>
      </c>
      <c r="W3">
        <f t="shared" si="1"/>
        <v>0.5</v>
      </c>
      <c r="X3">
        <f t="shared" si="1"/>
        <v>0.38300000000000001</v>
      </c>
      <c r="Y3">
        <f t="shared" si="1"/>
        <v>0.55600000000000005</v>
      </c>
      <c r="Z3">
        <f t="shared" si="1"/>
        <v>0.8</v>
      </c>
      <c r="AA3">
        <f t="shared" si="1"/>
        <v>0.27800000000000002</v>
      </c>
      <c r="AB3">
        <f t="shared" si="1"/>
        <v>0.27800000000000002</v>
      </c>
      <c r="AC3">
        <f t="shared" si="1"/>
        <v>0.55600000000000005</v>
      </c>
      <c r="AD3">
        <f t="shared" si="1"/>
        <v>0.5</v>
      </c>
      <c r="AE3">
        <f t="shared" si="1"/>
        <v>0.40699999999999997</v>
      </c>
      <c r="AF3">
        <f t="shared" si="1"/>
        <v>7.0999999999999994E-2</v>
      </c>
      <c r="AG3">
        <f t="shared" si="1"/>
        <v>9.9999999999999995E-7</v>
      </c>
      <c r="AH3">
        <f t="shared" si="1"/>
        <v>9.9999999999999995E-7</v>
      </c>
      <c r="AI3">
        <f t="shared" si="1"/>
        <v>9.9999999999999995E-7</v>
      </c>
      <c r="AJ3">
        <f t="shared" si="1"/>
        <v>7.0000000000000007E-2</v>
      </c>
      <c r="AK3">
        <f t="shared" si="1"/>
        <v>9.9999999999999995E-7</v>
      </c>
    </row>
    <row r="4" spans="1:37" x14ac:dyDescent="0.35">
      <c r="A4" s="6"/>
      <c r="B4" t="s">
        <v>16</v>
      </c>
      <c r="C4">
        <f t="shared" ref="C4:C17" si="3">C3+1</f>
        <v>3</v>
      </c>
      <c r="D4" t="s">
        <v>19</v>
      </c>
      <c r="E4">
        <v>0.60599999999999998</v>
      </c>
      <c r="F4">
        <v>0.61699999999999999</v>
      </c>
      <c r="G4">
        <v>0.5</v>
      </c>
      <c r="H4">
        <v>0.375</v>
      </c>
      <c r="I4">
        <v>0.5</v>
      </c>
      <c r="J4">
        <v>0.45200000000000001</v>
      </c>
      <c r="K4">
        <v>0.4</v>
      </c>
      <c r="L4">
        <v>9.9999999999999995E-7</v>
      </c>
      <c r="M4">
        <v>9.9999999999999995E-7</v>
      </c>
      <c r="N4">
        <v>0.308</v>
      </c>
      <c r="O4">
        <v>0.29199999999999998</v>
      </c>
      <c r="P4">
        <v>9.9999999999999995E-7</v>
      </c>
      <c r="Q4">
        <v>9.9999999999999995E-7</v>
      </c>
      <c r="R4">
        <v>0.16400000000000001</v>
      </c>
      <c r="S4">
        <v>0.5</v>
      </c>
      <c r="T4">
        <v>9.9999999999999995E-7</v>
      </c>
      <c r="V4">
        <f t="shared" si="2"/>
        <v>0.60599999999999998</v>
      </c>
      <c r="W4">
        <f t="shared" si="1"/>
        <v>0.61699999999999999</v>
      </c>
      <c r="X4">
        <f t="shared" si="1"/>
        <v>0.5</v>
      </c>
      <c r="Y4">
        <f t="shared" si="1"/>
        <v>0.375</v>
      </c>
      <c r="Z4">
        <f t="shared" si="1"/>
        <v>0.5</v>
      </c>
      <c r="AA4">
        <f t="shared" si="1"/>
        <v>0.45200000000000001</v>
      </c>
      <c r="AB4">
        <f t="shared" si="1"/>
        <v>0.4</v>
      </c>
      <c r="AC4">
        <f t="shared" si="1"/>
        <v>9.9999999999999995E-7</v>
      </c>
      <c r="AD4">
        <f t="shared" si="1"/>
        <v>9.9999999999999995E-7</v>
      </c>
      <c r="AE4">
        <f t="shared" si="1"/>
        <v>0.308</v>
      </c>
      <c r="AF4">
        <f t="shared" si="1"/>
        <v>0.29199999999999998</v>
      </c>
      <c r="AG4">
        <f t="shared" si="1"/>
        <v>9.9999999999999995E-7</v>
      </c>
      <c r="AH4">
        <f t="shared" si="1"/>
        <v>9.9999999999999995E-7</v>
      </c>
      <c r="AI4">
        <f t="shared" si="1"/>
        <v>0.16400000000000001</v>
      </c>
      <c r="AJ4">
        <f t="shared" si="1"/>
        <v>0.5</v>
      </c>
      <c r="AK4">
        <f t="shared" si="1"/>
        <v>9.9999999999999995E-7</v>
      </c>
    </row>
    <row r="5" spans="1:37" x14ac:dyDescent="0.35">
      <c r="A5" s="6"/>
      <c r="B5" t="s">
        <v>16</v>
      </c>
      <c r="C5">
        <f t="shared" si="3"/>
        <v>4</v>
      </c>
      <c r="D5" t="s">
        <v>20</v>
      </c>
      <c r="E5">
        <v>0.68600000000000005</v>
      </c>
      <c r="F5">
        <v>0.44400000000000001</v>
      </c>
      <c r="G5">
        <v>0.625</v>
      </c>
      <c r="H5">
        <v>0.5</v>
      </c>
      <c r="I5">
        <v>0.44900000000000001</v>
      </c>
      <c r="J5">
        <v>0.66700000000000004</v>
      </c>
      <c r="K5">
        <v>0.6</v>
      </c>
      <c r="L5">
        <v>0.7</v>
      </c>
      <c r="M5">
        <v>0.33300000000000002</v>
      </c>
      <c r="N5">
        <v>9.9999999999999995E-7</v>
      </c>
      <c r="O5">
        <v>9.9999999999999995E-7</v>
      </c>
      <c r="P5">
        <v>0.316</v>
      </c>
      <c r="Q5">
        <v>0.19700000000000001</v>
      </c>
      <c r="R5">
        <v>9.9999999999999995E-7</v>
      </c>
      <c r="S5">
        <v>9.9999999999999995E-7</v>
      </c>
      <c r="T5">
        <v>9.9999999999999995E-7</v>
      </c>
      <c r="V5">
        <f t="shared" si="2"/>
        <v>0.68600000000000005</v>
      </c>
      <c r="W5">
        <f t="shared" si="1"/>
        <v>0.44400000000000001</v>
      </c>
      <c r="X5">
        <f t="shared" si="1"/>
        <v>0.625</v>
      </c>
      <c r="Y5">
        <f t="shared" si="1"/>
        <v>0.5</v>
      </c>
      <c r="Z5">
        <f t="shared" si="1"/>
        <v>0.44900000000000001</v>
      </c>
      <c r="AA5">
        <f t="shared" si="1"/>
        <v>0.66700000000000004</v>
      </c>
      <c r="AB5">
        <f t="shared" si="1"/>
        <v>0.6</v>
      </c>
      <c r="AC5">
        <f t="shared" si="1"/>
        <v>0.7</v>
      </c>
      <c r="AD5">
        <f t="shared" si="1"/>
        <v>0.33300000000000002</v>
      </c>
      <c r="AE5">
        <f t="shared" si="1"/>
        <v>9.9999999999999995E-7</v>
      </c>
      <c r="AF5">
        <f t="shared" si="1"/>
        <v>9.9999999999999995E-7</v>
      </c>
      <c r="AG5">
        <f t="shared" si="1"/>
        <v>0.316</v>
      </c>
      <c r="AH5">
        <f t="shared" si="1"/>
        <v>0.19700000000000001</v>
      </c>
      <c r="AI5">
        <f t="shared" si="1"/>
        <v>9.9999999999999995E-7</v>
      </c>
      <c r="AJ5">
        <f t="shared" si="1"/>
        <v>9.9999999999999995E-7</v>
      </c>
      <c r="AK5">
        <f t="shared" si="1"/>
        <v>9.9999999999999995E-7</v>
      </c>
    </row>
    <row r="6" spans="1:37" x14ac:dyDescent="0.35">
      <c r="A6" s="6"/>
      <c r="B6" t="s">
        <v>16</v>
      </c>
      <c r="C6">
        <f t="shared" si="3"/>
        <v>5</v>
      </c>
      <c r="D6" t="s">
        <v>21</v>
      </c>
      <c r="E6">
        <v>0.84</v>
      </c>
      <c r="F6">
        <v>0.2</v>
      </c>
      <c r="G6">
        <v>0.5</v>
      </c>
      <c r="H6">
        <v>0.55100000000000005</v>
      </c>
      <c r="I6">
        <v>0.5</v>
      </c>
      <c r="J6">
        <v>9.9999999999999995E-7</v>
      </c>
      <c r="K6">
        <v>9.9999999999999995E-7</v>
      </c>
      <c r="L6">
        <v>0.75</v>
      </c>
      <c r="M6">
        <v>0.66700000000000004</v>
      </c>
      <c r="N6">
        <v>9.9999999999999995E-7</v>
      </c>
      <c r="O6">
        <v>9.9999999999999995E-7</v>
      </c>
      <c r="P6">
        <v>0.33100000000000002</v>
      </c>
      <c r="Q6">
        <v>0.2</v>
      </c>
      <c r="R6">
        <v>9.9999999999999995E-7</v>
      </c>
      <c r="S6">
        <v>9.9999999999999995E-7</v>
      </c>
      <c r="T6">
        <v>9.9999999999999995E-7</v>
      </c>
      <c r="V6">
        <f t="shared" si="2"/>
        <v>0.84</v>
      </c>
      <c r="W6">
        <f t="shared" si="1"/>
        <v>0.2</v>
      </c>
      <c r="X6">
        <f t="shared" si="1"/>
        <v>0.5</v>
      </c>
      <c r="Y6">
        <f t="shared" si="1"/>
        <v>0.55100000000000005</v>
      </c>
      <c r="Z6">
        <f t="shared" si="1"/>
        <v>0.5</v>
      </c>
      <c r="AA6">
        <f t="shared" si="1"/>
        <v>9.9999999999999995E-7</v>
      </c>
      <c r="AB6">
        <f t="shared" si="1"/>
        <v>9.9999999999999995E-7</v>
      </c>
      <c r="AC6">
        <f t="shared" si="1"/>
        <v>0.75</v>
      </c>
      <c r="AD6">
        <f t="shared" si="1"/>
        <v>0.66700000000000004</v>
      </c>
      <c r="AE6">
        <f t="shared" si="1"/>
        <v>9.9999999999999995E-7</v>
      </c>
      <c r="AF6">
        <f t="shared" si="1"/>
        <v>9.9999999999999995E-7</v>
      </c>
      <c r="AG6">
        <f t="shared" si="1"/>
        <v>0.33100000000000002</v>
      </c>
      <c r="AH6">
        <f t="shared" si="1"/>
        <v>0.2</v>
      </c>
      <c r="AI6">
        <f t="shared" si="1"/>
        <v>9.9999999999999995E-7</v>
      </c>
      <c r="AJ6">
        <f t="shared" si="1"/>
        <v>9.9999999999999995E-7</v>
      </c>
      <c r="AK6">
        <f t="shared" si="1"/>
        <v>9.9999999999999995E-7</v>
      </c>
    </row>
    <row r="7" spans="1:37" x14ac:dyDescent="0.35">
      <c r="A7" s="6"/>
      <c r="B7" t="s">
        <v>16</v>
      </c>
      <c r="C7">
        <f t="shared" si="3"/>
        <v>6</v>
      </c>
      <c r="D7" t="s">
        <v>22</v>
      </c>
      <c r="E7">
        <v>0.68799999999999994</v>
      </c>
      <c r="F7">
        <v>0.72199999999999998</v>
      </c>
      <c r="G7">
        <v>0.54800000000000004</v>
      </c>
      <c r="H7">
        <v>0.33300000000000002</v>
      </c>
      <c r="I7">
        <v>0.99999899999999997</v>
      </c>
      <c r="J7">
        <v>9.9999999999999995E-7</v>
      </c>
      <c r="K7">
        <v>0.375</v>
      </c>
      <c r="L7">
        <v>0.75</v>
      </c>
      <c r="M7">
        <v>9.9999999999999995E-7</v>
      </c>
      <c r="N7">
        <v>0.4</v>
      </c>
      <c r="O7">
        <v>0.35099999999999998</v>
      </c>
      <c r="P7">
        <v>9.9999999999999995E-7</v>
      </c>
      <c r="Q7">
        <v>9.9999999999999995E-7</v>
      </c>
      <c r="R7">
        <v>0.125</v>
      </c>
      <c r="S7">
        <v>9.9999999999999995E-7</v>
      </c>
      <c r="T7">
        <v>9.9999999999999995E-7</v>
      </c>
      <c r="V7">
        <f t="shared" si="2"/>
        <v>0.68799999999999994</v>
      </c>
      <c r="W7">
        <f t="shared" si="1"/>
        <v>0.72199999999999998</v>
      </c>
      <c r="X7">
        <f t="shared" si="1"/>
        <v>0.54800000000000004</v>
      </c>
      <c r="Y7">
        <f t="shared" si="1"/>
        <v>0.33300000000000002</v>
      </c>
      <c r="Z7">
        <f t="shared" si="1"/>
        <v>0.99999899999999997</v>
      </c>
      <c r="AA7">
        <f t="shared" si="1"/>
        <v>9.9999999999999995E-7</v>
      </c>
      <c r="AB7">
        <f t="shared" si="1"/>
        <v>0.375</v>
      </c>
      <c r="AC7">
        <f t="shared" si="1"/>
        <v>0.75</v>
      </c>
      <c r="AD7">
        <f t="shared" si="1"/>
        <v>9.9999999999999995E-7</v>
      </c>
      <c r="AE7">
        <f t="shared" si="1"/>
        <v>0.4</v>
      </c>
      <c r="AF7">
        <f t="shared" si="1"/>
        <v>0.35099999999999998</v>
      </c>
      <c r="AG7">
        <f t="shared" si="1"/>
        <v>9.9999999999999995E-7</v>
      </c>
      <c r="AH7">
        <f t="shared" si="1"/>
        <v>9.9999999999999995E-7</v>
      </c>
      <c r="AI7">
        <f t="shared" si="1"/>
        <v>0.125</v>
      </c>
      <c r="AJ7">
        <f t="shared" si="1"/>
        <v>9.9999999999999995E-7</v>
      </c>
      <c r="AK7">
        <f t="shared" si="1"/>
        <v>9.9999999999999995E-7</v>
      </c>
    </row>
    <row r="8" spans="1:37" x14ac:dyDescent="0.35">
      <c r="A8" s="6"/>
      <c r="B8" t="s">
        <v>16</v>
      </c>
      <c r="C8">
        <f t="shared" si="3"/>
        <v>7</v>
      </c>
      <c r="D8" t="s">
        <v>23</v>
      </c>
      <c r="E8">
        <v>0.83299999999999996</v>
      </c>
      <c r="F8">
        <v>0.72199999999999998</v>
      </c>
      <c r="G8">
        <v>0.6</v>
      </c>
      <c r="H8">
        <v>0.4</v>
      </c>
      <c r="I8">
        <v>9.9999999999999995E-7</v>
      </c>
      <c r="J8">
        <v>0.625</v>
      </c>
      <c r="K8">
        <v>9.9999999999999995E-7</v>
      </c>
      <c r="L8">
        <v>0.5</v>
      </c>
      <c r="M8">
        <v>9.9999999999999995E-7</v>
      </c>
      <c r="N8">
        <v>0.39500000000000002</v>
      </c>
      <c r="O8">
        <v>0.99999899999999997</v>
      </c>
      <c r="P8">
        <v>9.9999999999999995E-7</v>
      </c>
      <c r="Q8">
        <v>9.9999999999999995E-7</v>
      </c>
      <c r="R8">
        <v>9.9999999999999995E-7</v>
      </c>
      <c r="S8">
        <v>0.33300000000000002</v>
      </c>
      <c r="T8">
        <v>9.9999999999999995E-7</v>
      </c>
      <c r="V8">
        <f t="shared" si="2"/>
        <v>0.83299999999999996</v>
      </c>
      <c r="W8">
        <f t="shared" si="1"/>
        <v>0.72199999999999998</v>
      </c>
      <c r="X8">
        <f t="shared" si="1"/>
        <v>0.6</v>
      </c>
      <c r="Y8">
        <f t="shared" si="1"/>
        <v>0.4</v>
      </c>
      <c r="Z8">
        <f t="shared" si="1"/>
        <v>9.9999999999999995E-7</v>
      </c>
      <c r="AA8">
        <f t="shared" si="1"/>
        <v>0.625</v>
      </c>
      <c r="AB8">
        <f t="shared" si="1"/>
        <v>9.9999999999999995E-7</v>
      </c>
      <c r="AC8">
        <f t="shared" si="1"/>
        <v>0.5</v>
      </c>
      <c r="AD8">
        <f t="shared" si="1"/>
        <v>9.9999999999999995E-7</v>
      </c>
      <c r="AE8">
        <f t="shared" si="1"/>
        <v>0.39500000000000002</v>
      </c>
      <c r="AF8">
        <f t="shared" si="1"/>
        <v>0.99999899999999997</v>
      </c>
      <c r="AG8">
        <f t="shared" si="1"/>
        <v>9.9999999999999995E-7</v>
      </c>
      <c r="AH8">
        <f t="shared" si="1"/>
        <v>9.9999999999999995E-7</v>
      </c>
      <c r="AI8">
        <f t="shared" si="1"/>
        <v>9.9999999999999995E-7</v>
      </c>
      <c r="AJ8">
        <f t="shared" si="1"/>
        <v>0.33300000000000002</v>
      </c>
      <c r="AK8">
        <f t="shared" si="1"/>
        <v>9.9999999999999995E-7</v>
      </c>
    </row>
    <row r="9" spans="1:37" x14ac:dyDescent="0.35">
      <c r="A9" s="6"/>
      <c r="B9" t="s">
        <v>16</v>
      </c>
      <c r="C9">
        <f t="shared" si="3"/>
        <v>8</v>
      </c>
      <c r="D9" t="s">
        <v>24</v>
      </c>
      <c r="E9">
        <v>0.80500000000000005</v>
      </c>
      <c r="F9">
        <v>0.44400000000000001</v>
      </c>
      <c r="G9">
        <v>0.99999899999999997</v>
      </c>
      <c r="H9">
        <v>0.3</v>
      </c>
      <c r="I9">
        <v>0.25</v>
      </c>
      <c r="J9">
        <v>0.25</v>
      </c>
      <c r="K9">
        <v>0.5</v>
      </c>
      <c r="L9">
        <v>9.9999999999999995E-7</v>
      </c>
      <c r="M9">
        <v>0.47399999999999998</v>
      </c>
      <c r="N9">
        <v>9.9999999999999995E-7</v>
      </c>
      <c r="O9">
        <v>9.9999999999999995E-7</v>
      </c>
      <c r="P9">
        <v>0.99999899999999997</v>
      </c>
      <c r="Q9">
        <v>9.9999999999999995E-7</v>
      </c>
      <c r="R9">
        <v>9.9999999999999995E-7</v>
      </c>
      <c r="S9">
        <v>9.9999999999999995E-7</v>
      </c>
      <c r="T9">
        <v>9.9999999999999995E-7</v>
      </c>
      <c r="V9">
        <f t="shared" si="2"/>
        <v>0.80500000000000005</v>
      </c>
      <c r="W9">
        <f t="shared" si="1"/>
        <v>0.44400000000000001</v>
      </c>
      <c r="X9">
        <f t="shared" si="1"/>
        <v>0.99999899999999997</v>
      </c>
      <c r="Y9">
        <f t="shared" si="1"/>
        <v>0.3</v>
      </c>
      <c r="Z9">
        <f t="shared" si="1"/>
        <v>0.25</v>
      </c>
      <c r="AA9">
        <f t="shared" si="1"/>
        <v>0.25</v>
      </c>
      <c r="AB9">
        <f t="shared" si="1"/>
        <v>0.5</v>
      </c>
      <c r="AC9">
        <f t="shared" si="1"/>
        <v>9.9999999999999995E-7</v>
      </c>
      <c r="AD9">
        <f t="shared" si="1"/>
        <v>0.47399999999999998</v>
      </c>
      <c r="AE9">
        <f t="shared" si="1"/>
        <v>9.9999999999999995E-7</v>
      </c>
      <c r="AF9">
        <f t="shared" si="1"/>
        <v>9.9999999999999995E-7</v>
      </c>
      <c r="AG9">
        <f t="shared" si="1"/>
        <v>0.99999899999999997</v>
      </c>
      <c r="AH9">
        <f t="shared" si="1"/>
        <v>9.9999999999999995E-7</v>
      </c>
      <c r="AI9">
        <f t="shared" si="1"/>
        <v>9.9999999999999995E-7</v>
      </c>
      <c r="AJ9">
        <f t="shared" si="1"/>
        <v>9.9999999999999995E-7</v>
      </c>
      <c r="AK9">
        <f t="shared" si="1"/>
        <v>9.9999999999999995E-7</v>
      </c>
    </row>
    <row r="10" spans="1:37" x14ac:dyDescent="0.35">
      <c r="A10" s="6"/>
      <c r="B10" t="s">
        <v>16</v>
      </c>
      <c r="C10">
        <f t="shared" si="3"/>
        <v>9</v>
      </c>
      <c r="D10" t="s">
        <v>25</v>
      </c>
      <c r="E10">
        <v>0.90400000000000003</v>
      </c>
      <c r="F10">
        <v>0.5</v>
      </c>
      <c r="G10">
        <v>0.99999899999999997</v>
      </c>
      <c r="H10">
        <v>0.66700000000000004</v>
      </c>
      <c r="I10">
        <v>0.33300000000000002</v>
      </c>
      <c r="J10">
        <v>9.9999999999999995E-7</v>
      </c>
      <c r="K10">
        <v>9.9999999999999995E-7</v>
      </c>
      <c r="L10">
        <v>0.52600000000000002</v>
      </c>
      <c r="M10">
        <v>9.9999999999999995E-7</v>
      </c>
      <c r="N10">
        <v>9.9999999999999995E-7</v>
      </c>
      <c r="O10">
        <v>9.9999999999999995E-7</v>
      </c>
      <c r="P10">
        <v>9.9999999999999995E-7</v>
      </c>
      <c r="Q10">
        <v>9.9999999999999995E-7</v>
      </c>
      <c r="R10">
        <v>9.9999999999999995E-7</v>
      </c>
      <c r="S10">
        <v>9.9999999999999995E-7</v>
      </c>
      <c r="T10">
        <v>9.9999999999999995E-7</v>
      </c>
      <c r="V10">
        <f t="shared" si="2"/>
        <v>0.90400000000000003</v>
      </c>
      <c r="W10">
        <f t="shared" si="1"/>
        <v>0.5</v>
      </c>
      <c r="X10">
        <f t="shared" si="1"/>
        <v>0.99999899999999997</v>
      </c>
      <c r="Y10">
        <f t="shared" si="1"/>
        <v>0.66700000000000004</v>
      </c>
      <c r="Z10">
        <f t="shared" si="1"/>
        <v>0.33300000000000002</v>
      </c>
      <c r="AA10">
        <f t="shared" si="1"/>
        <v>9.9999999999999995E-7</v>
      </c>
      <c r="AB10">
        <f t="shared" si="1"/>
        <v>9.9999999999999995E-7</v>
      </c>
      <c r="AC10">
        <f t="shared" si="1"/>
        <v>0.52600000000000002</v>
      </c>
      <c r="AD10">
        <f t="shared" si="1"/>
        <v>9.9999999999999995E-7</v>
      </c>
      <c r="AE10">
        <f t="shared" si="1"/>
        <v>9.9999999999999995E-7</v>
      </c>
      <c r="AF10">
        <f t="shared" si="1"/>
        <v>9.9999999999999995E-7</v>
      </c>
      <c r="AG10">
        <f t="shared" si="1"/>
        <v>9.9999999999999995E-7</v>
      </c>
      <c r="AH10">
        <f t="shared" si="1"/>
        <v>9.9999999999999995E-7</v>
      </c>
      <c r="AI10">
        <f t="shared" si="1"/>
        <v>9.9999999999999995E-7</v>
      </c>
      <c r="AJ10">
        <f t="shared" si="1"/>
        <v>9.9999999999999995E-7</v>
      </c>
      <c r="AK10">
        <f t="shared" si="1"/>
        <v>9.9999999999999995E-7</v>
      </c>
    </row>
    <row r="11" spans="1:37" x14ac:dyDescent="0.35">
      <c r="A11" s="6"/>
      <c r="B11" t="s">
        <v>16</v>
      </c>
      <c r="C11">
        <f t="shared" si="3"/>
        <v>10</v>
      </c>
      <c r="D11" t="s">
        <v>26</v>
      </c>
      <c r="E11">
        <v>0.85699999999999998</v>
      </c>
      <c r="F11">
        <v>0.59299999999999997</v>
      </c>
      <c r="G11">
        <v>0.69199999999999995</v>
      </c>
      <c r="H11">
        <v>0.99999899999999997</v>
      </c>
      <c r="I11">
        <v>0.99999899999999997</v>
      </c>
      <c r="J11">
        <v>0.6</v>
      </c>
      <c r="K11">
        <v>0.60499999999999998</v>
      </c>
      <c r="L11">
        <v>9.9999999999999995E-7</v>
      </c>
      <c r="M11">
        <v>0.99999899999999997</v>
      </c>
      <c r="N11">
        <v>9.9999999999999995E-7</v>
      </c>
      <c r="O11">
        <v>0.66700000000000004</v>
      </c>
      <c r="P11">
        <v>9.9999999999999995E-7</v>
      </c>
      <c r="Q11">
        <v>9.9999999999999995E-7</v>
      </c>
      <c r="R11">
        <v>9.9999999999999995E-7</v>
      </c>
      <c r="S11">
        <v>0.16700000000000001</v>
      </c>
      <c r="T11">
        <v>9.9999999999999995E-7</v>
      </c>
      <c r="V11">
        <f t="shared" si="2"/>
        <v>0.85699999999999998</v>
      </c>
      <c r="W11">
        <f t="shared" si="1"/>
        <v>0.59299999999999997</v>
      </c>
      <c r="X11">
        <f t="shared" si="1"/>
        <v>0.69199999999999995</v>
      </c>
      <c r="Y11">
        <f t="shared" si="1"/>
        <v>0.99999899999999997</v>
      </c>
      <c r="Z11">
        <f t="shared" si="1"/>
        <v>0.99999899999999997</v>
      </c>
      <c r="AA11">
        <f t="shared" si="1"/>
        <v>0.6</v>
      </c>
      <c r="AB11">
        <f t="shared" si="1"/>
        <v>0.60499999999999998</v>
      </c>
      <c r="AC11">
        <f t="shared" si="1"/>
        <v>9.9999999999999995E-7</v>
      </c>
      <c r="AD11">
        <f t="shared" si="1"/>
        <v>0.99999899999999997</v>
      </c>
      <c r="AE11">
        <f t="shared" si="1"/>
        <v>9.9999999999999995E-7</v>
      </c>
      <c r="AF11">
        <f t="shared" si="1"/>
        <v>0.66700000000000004</v>
      </c>
      <c r="AG11">
        <f t="shared" si="1"/>
        <v>9.9999999999999995E-7</v>
      </c>
      <c r="AH11">
        <f t="shared" si="1"/>
        <v>9.9999999999999995E-7</v>
      </c>
      <c r="AI11">
        <f t="shared" si="1"/>
        <v>9.9999999999999995E-7</v>
      </c>
      <c r="AJ11">
        <f t="shared" si="1"/>
        <v>0.16700000000000001</v>
      </c>
      <c r="AK11">
        <f t="shared" si="1"/>
        <v>9.9999999999999995E-7</v>
      </c>
    </row>
    <row r="12" spans="1:37" x14ac:dyDescent="0.35">
      <c r="A12" s="6"/>
      <c r="B12" t="s">
        <v>16</v>
      </c>
      <c r="C12">
        <f t="shared" si="3"/>
        <v>11</v>
      </c>
      <c r="D12" t="s">
        <v>27</v>
      </c>
      <c r="E12">
        <v>0.5</v>
      </c>
      <c r="F12">
        <v>0.92900000000000005</v>
      </c>
      <c r="G12">
        <v>0.70799999999999996</v>
      </c>
      <c r="H12">
        <v>9.9999999999999995E-7</v>
      </c>
      <c r="I12">
        <v>9.9999999999999995E-7</v>
      </c>
      <c r="J12">
        <v>0.64900000000000002</v>
      </c>
      <c r="K12">
        <v>9.9999999999999995E-7</v>
      </c>
      <c r="L12">
        <v>0.99999899999999997</v>
      </c>
      <c r="M12">
        <v>9.9999999999999995E-7</v>
      </c>
      <c r="N12">
        <v>0.33300000000000002</v>
      </c>
      <c r="O12">
        <v>9.9999999999999995E-7</v>
      </c>
      <c r="P12">
        <v>9.9999999999999995E-7</v>
      </c>
      <c r="Q12">
        <v>9.9999999999999995E-7</v>
      </c>
      <c r="R12">
        <v>9.9999999999999995E-7</v>
      </c>
      <c r="S12">
        <v>9.9999999999999995E-7</v>
      </c>
      <c r="T12">
        <v>9.9999999999999995E-7</v>
      </c>
      <c r="V12">
        <f t="shared" si="2"/>
        <v>0.5</v>
      </c>
      <c r="W12">
        <f t="shared" si="1"/>
        <v>0.92900000000000005</v>
      </c>
      <c r="X12">
        <f t="shared" si="1"/>
        <v>0.70799999999999996</v>
      </c>
      <c r="Y12">
        <f t="shared" si="1"/>
        <v>9.9999999999999995E-7</v>
      </c>
      <c r="Z12">
        <f t="shared" si="1"/>
        <v>9.9999999999999995E-7</v>
      </c>
      <c r="AA12">
        <f t="shared" si="1"/>
        <v>0.64900000000000002</v>
      </c>
      <c r="AB12">
        <f t="shared" si="1"/>
        <v>9.9999999999999995E-7</v>
      </c>
      <c r="AC12">
        <f t="shared" si="1"/>
        <v>0.99999899999999997</v>
      </c>
      <c r="AD12">
        <f t="shared" si="1"/>
        <v>9.9999999999999995E-7</v>
      </c>
      <c r="AE12">
        <f t="shared" si="1"/>
        <v>0.33300000000000002</v>
      </c>
      <c r="AF12">
        <f t="shared" si="1"/>
        <v>9.9999999999999995E-7</v>
      </c>
      <c r="AG12">
        <f t="shared" si="1"/>
        <v>9.9999999999999995E-7</v>
      </c>
      <c r="AH12">
        <f t="shared" si="1"/>
        <v>9.9999999999999995E-7</v>
      </c>
      <c r="AI12">
        <f t="shared" si="1"/>
        <v>9.9999999999999995E-7</v>
      </c>
      <c r="AJ12">
        <f t="shared" si="1"/>
        <v>9.9999999999999995E-7</v>
      </c>
      <c r="AK12">
        <f t="shared" si="1"/>
        <v>9.9999999999999995E-7</v>
      </c>
    </row>
    <row r="13" spans="1:37" x14ac:dyDescent="0.35">
      <c r="A13" s="6"/>
      <c r="B13" t="s">
        <v>16</v>
      </c>
      <c r="C13">
        <f t="shared" si="3"/>
        <v>12</v>
      </c>
      <c r="D13" t="s">
        <v>28</v>
      </c>
      <c r="E13">
        <v>0.99999899999999997</v>
      </c>
      <c r="F13">
        <v>0.99999899999999997</v>
      </c>
      <c r="G13">
        <v>9.9999999999999995E-7</v>
      </c>
      <c r="H13">
        <v>0.68400000000000005</v>
      </c>
      <c r="I13">
        <v>0.66900000000000004</v>
      </c>
      <c r="J13">
        <v>9.9999999999999995E-7</v>
      </c>
      <c r="K13">
        <v>9.9999999999999995E-7</v>
      </c>
      <c r="L13">
        <v>9.9999999999999995E-7</v>
      </c>
      <c r="M13">
        <v>9.9999999999999995E-7</v>
      </c>
      <c r="N13">
        <v>9.9999999999999995E-7</v>
      </c>
      <c r="O13">
        <v>9.9999999999999995E-7</v>
      </c>
      <c r="P13">
        <v>9.9999999999999995E-7</v>
      </c>
      <c r="Q13">
        <v>0.27300000000000002</v>
      </c>
      <c r="R13">
        <v>9.9999999999999995E-7</v>
      </c>
      <c r="S13">
        <v>9.9999999999999995E-7</v>
      </c>
      <c r="T13">
        <v>9.9999999999999995E-7</v>
      </c>
      <c r="V13">
        <f t="shared" si="2"/>
        <v>0.99999899999999997</v>
      </c>
      <c r="W13">
        <f t="shared" si="1"/>
        <v>0.99999899999999997</v>
      </c>
      <c r="X13">
        <f t="shared" si="1"/>
        <v>9.9999999999999995E-7</v>
      </c>
      <c r="Y13">
        <f t="shared" si="1"/>
        <v>0.68400000000000005</v>
      </c>
      <c r="Z13">
        <f t="shared" si="1"/>
        <v>0.66900000000000004</v>
      </c>
      <c r="AA13">
        <f t="shared" si="1"/>
        <v>9.9999999999999995E-7</v>
      </c>
      <c r="AB13">
        <f t="shared" si="1"/>
        <v>9.9999999999999995E-7</v>
      </c>
      <c r="AC13">
        <f t="shared" si="1"/>
        <v>9.9999999999999995E-7</v>
      </c>
      <c r="AD13">
        <f t="shared" si="1"/>
        <v>9.9999999999999995E-7</v>
      </c>
      <c r="AE13">
        <f t="shared" si="1"/>
        <v>9.9999999999999995E-7</v>
      </c>
      <c r="AF13">
        <f t="shared" si="1"/>
        <v>9.9999999999999995E-7</v>
      </c>
      <c r="AG13">
        <f t="shared" si="1"/>
        <v>9.9999999999999995E-7</v>
      </c>
      <c r="AH13">
        <f t="shared" si="1"/>
        <v>0.27300000000000002</v>
      </c>
      <c r="AI13">
        <f t="shared" si="1"/>
        <v>9.9999999999999995E-7</v>
      </c>
      <c r="AJ13">
        <f t="shared" si="1"/>
        <v>9.9999999999999995E-7</v>
      </c>
      <c r="AK13">
        <f t="shared" si="1"/>
        <v>9.9999999999999995E-7</v>
      </c>
    </row>
    <row r="14" spans="1:37" x14ac:dyDescent="0.35">
      <c r="A14" s="6"/>
      <c r="B14" t="s">
        <v>16</v>
      </c>
      <c r="C14">
        <f t="shared" si="3"/>
        <v>13</v>
      </c>
      <c r="D14" t="s">
        <v>29</v>
      </c>
      <c r="E14">
        <v>0.99999899999999997</v>
      </c>
      <c r="F14">
        <v>9.9999999999999995E-7</v>
      </c>
      <c r="G14">
        <v>9.9999999999999995E-7</v>
      </c>
      <c r="H14">
        <v>0.80300000000000005</v>
      </c>
      <c r="I14">
        <v>0.8</v>
      </c>
      <c r="J14">
        <v>9.9999999999999995E-7</v>
      </c>
      <c r="K14">
        <v>9.9999999999999995E-7</v>
      </c>
      <c r="L14">
        <v>0.99999899999999997</v>
      </c>
      <c r="M14">
        <v>0.99999899999999997</v>
      </c>
      <c r="N14">
        <v>9.9999999999999995E-7</v>
      </c>
      <c r="O14">
        <v>9.9999999999999995E-7</v>
      </c>
      <c r="P14">
        <v>0.72699999999999998</v>
      </c>
      <c r="Q14">
        <v>9.9999999999999995E-7</v>
      </c>
      <c r="R14">
        <v>9.9999999999999995E-7</v>
      </c>
      <c r="S14">
        <v>9.9999999999999995E-7</v>
      </c>
      <c r="T14">
        <v>9.9999999999999995E-7</v>
      </c>
      <c r="V14">
        <f t="shared" si="2"/>
        <v>0.99999899999999997</v>
      </c>
      <c r="W14">
        <f t="shared" si="1"/>
        <v>9.9999999999999995E-7</v>
      </c>
      <c r="X14">
        <f t="shared" si="1"/>
        <v>9.9999999999999995E-7</v>
      </c>
      <c r="Y14">
        <f t="shared" si="1"/>
        <v>0.80300000000000005</v>
      </c>
      <c r="Z14">
        <f t="shared" si="1"/>
        <v>0.8</v>
      </c>
      <c r="AA14">
        <f t="shared" si="1"/>
        <v>9.9999999999999995E-7</v>
      </c>
      <c r="AB14">
        <f t="shared" si="1"/>
        <v>9.9999999999999995E-7</v>
      </c>
      <c r="AC14">
        <f t="shared" si="1"/>
        <v>0.99999899999999997</v>
      </c>
      <c r="AD14">
        <f t="shared" si="1"/>
        <v>0.99999899999999997</v>
      </c>
      <c r="AE14">
        <f t="shared" si="1"/>
        <v>9.9999999999999995E-7</v>
      </c>
      <c r="AF14">
        <f t="shared" si="1"/>
        <v>9.9999999999999995E-7</v>
      </c>
      <c r="AG14">
        <f t="shared" si="1"/>
        <v>0.72699999999999998</v>
      </c>
      <c r="AH14">
        <f t="shared" si="1"/>
        <v>9.9999999999999995E-7</v>
      </c>
      <c r="AI14">
        <f t="shared" si="1"/>
        <v>9.9999999999999995E-7</v>
      </c>
      <c r="AJ14">
        <f t="shared" si="1"/>
        <v>9.9999999999999995E-7</v>
      </c>
      <c r="AK14">
        <f t="shared" si="1"/>
        <v>9.9999999999999995E-7</v>
      </c>
    </row>
    <row r="15" spans="1:37" x14ac:dyDescent="0.35">
      <c r="A15" s="6"/>
      <c r="B15" t="s">
        <v>16</v>
      </c>
      <c r="C15">
        <f t="shared" si="3"/>
        <v>14</v>
      </c>
      <c r="D15" t="s">
        <v>30</v>
      </c>
      <c r="E15">
        <v>9.9999999999999995E-7</v>
      </c>
      <c r="F15">
        <v>9.9999999999999995E-7</v>
      </c>
      <c r="G15">
        <v>0.83599999999999997</v>
      </c>
      <c r="H15">
        <v>9.9999999999999995E-7</v>
      </c>
      <c r="I15">
        <v>9.9999999999999995E-7</v>
      </c>
      <c r="J15">
        <v>0.875</v>
      </c>
      <c r="K15">
        <v>0.99999899999999997</v>
      </c>
      <c r="L15">
        <v>9.9999999999999995E-7</v>
      </c>
      <c r="M15">
        <v>9.9999999999999995E-7</v>
      </c>
      <c r="N15">
        <v>0.99999899999999997</v>
      </c>
      <c r="O15">
        <v>0.99999899999999997</v>
      </c>
      <c r="P15">
        <v>9.9999999999999995E-7</v>
      </c>
      <c r="Q15">
        <v>9.9999999999999995E-7</v>
      </c>
      <c r="R15">
        <v>9.9999999999999995E-7</v>
      </c>
      <c r="S15">
        <v>9.9999999999999995E-7</v>
      </c>
      <c r="T15">
        <v>9.9999999999999995E-7</v>
      </c>
      <c r="V15">
        <f t="shared" si="2"/>
        <v>9.9999999999999995E-7</v>
      </c>
      <c r="W15">
        <f t="shared" si="1"/>
        <v>9.9999999999999995E-7</v>
      </c>
      <c r="X15">
        <f t="shared" si="1"/>
        <v>0.83599999999999997</v>
      </c>
      <c r="Y15">
        <f t="shared" si="1"/>
        <v>9.9999999999999995E-7</v>
      </c>
      <c r="Z15">
        <f t="shared" si="1"/>
        <v>9.9999999999999995E-7</v>
      </c>
      <c r="AA15">
        <f t="shared" si="1"/>
        <v>0.875</v>
      </c>
      <c r="AB15">
        <f t="shared" si="1"/>
        <v>0.99999899999999997</v>
      </c>
      <c r="AC15">
        <f t="shared" si="1"/>
        <v>9.9999999999999995E-7</v>
      </c>
      <c r="AD15">
        <f t="shared" si="1"/>
        <v>9.9999999999999995E-7</v>
      </c>
      <c r="AE15">
        <f t="shared" si="1"/>
        <v>0.99999899999999997</v>
      </c>
      <c r="AF15">
        <f t="shared" si="1"/>
        <v>0.99999899999999997</v>
      </c>
      <c r="AG15">
        <f t="shared" si="1"/>
        <v>9.9999999999999995E-7</v>
      </c>
      <c r="AH15">
        <f t="shared" si="1"/>
        <v>9.9999999999999995E-7</v>
      </c>
      <c r="AI15">
        <f t="shared" si="1"/>
        <v>9.9999999999999995E-7</v>
      </c>
      <c r="AJ15">
        <f t="shared" si="1"/>
        <v>9.9999999999999995E-7</v>
      </c>
      <c r="AK15">
        <f t="shared" si="1"/>
        <v>9.9999999999999995E-7</v>
      </c>
    </row>
    <row r="16" spans="1:37" x14ac:dyDescent="0.35">
      <c r="A16" s="6"/>
      <c r="B16" t="s">
        <v>16</v>
      </c>
      <c r="C16">
        <f t="shared" si="3"/>
        <v>15</v>
      </c>
      <c r="D16" t="s">
        <v>31</v>
      </c>
      <c r="E16">
        <v>9.9999999999999995E-7</v>
      </c>
      <c r="F16">
        <v>0.93</v>
      </c>
      <c r="G16">
        <v>0.5</v>
      </c>
      <c r="H16">
        <v>9.9999999999999995E-7</v>
      </c>
      <c r="I16">
        <v>9.9999999999999995E-7</v>
      </c>
      <c r="J16">
        <v>9.9999999999999995E-7</v>
      </c>
      <c r="K16">
        <v>0.66700000000000004</v>
      </c>
      <c r="L16">
        <v>9.9999999999999995E-7</v>
      </c>
      <c r="M16">
        <v>9.9999999999999995E-7</v>
      </c>
      <c r="N16">
        <v>0.83299999999999996</v>
      </c>
      <c r="O16">
        <v>9.9999999999999995E-7</v>
      </c>
      <c r="P16">
        <v>9.9999999999999995E-7</v>
      </c>
      <c r="Q16">
        <v>9.9999999999999995E-7</v>
      </c>
      <c r="R16">
        <v>9.9999999999999995E-7</v>
      </c>
      <c r="S16">
        <v>9.9999999999999995E-7</v>
      </c>
      <c r="T16">
        <v>9.9999999999999995E-7</v>
      </c>
      <c r="V16">
        <f t="shared" si="2"/>
        <v>9.9999999999999995E-7</v>
      </c>
      <c r="W16">
        <f t="shared" si="1"/>
        <v>0.93</v>
      </c>
      <c r="X16">
        <f t="shared" si="1"/>
        <v>0.5</v>
      </c>
      <c r="Y16">
        <f t="shared" si="1"/>
        <v>9.9999999999999995E-7</v>
      </c>
      <c r="Z16">
        <f t="shared" si="1"/>
        <v>9.9999999999999995E-7</v>
      </c>
      <c r="AA16">
        <f t="shared" si="1"/>
        <v>9.9999999999999995E-7</v>
      </c>
      <c r="AB16">
        <f t="shared" si="1"/>
        <v>0.66700000000000004</v>
      </c>
      <c r="AC16">
        <f t="shared" si="1"/>
        <v>9.9999999999999995E-7</v>
      </c>
      <c r="AD16">
        <f t="shared" si="1"/>
        <v>9.9999999999999995E-7</v>
      </c>
      <c r="AE16">
        <f t="shared" si="1"/>
        <v>0.83299999999999996</v>
      </c>
      <c r="AF16">
        <f t="shared" si="1"/>
        <v>9.9999999999999995E-7</v>
      </c>
      <c r="AG16">
        <f t="shared" si="1"/>
        <v>9.9999999999999995E-7</v>
      </c>
      <c r="AH16">
        <f t="shared" si="1"/>
        <v>9.9999999999999995E-7</v>
      </c>
      <c r="AI16">
        <f t="shared" si="1"/>
        <v>9.9999999999999995E-7</v>
      </c>
      <c r="AJ16">
        <f t="shared" si="1"/>
        <v>9.9999999999999995E-7</v>
      </c>
      <c r="AK16">
        <f t="shared" si="1"/>
        <v>9.9999999999999995E-7</v>
      </c>
    </row>
    <row r="17" spans="1:37" x14ac:dyDescent="0.35">
      <c r="A17" s="6"/>
      <c r="B17" t="s">
        <v>16</v>
      </c>
      <c r="C17">
        <f t="shared" si="3"/>
        <v>16</v>
      </c>
      <c r="D17" t="s">
        <v>32</v>
      </c>
      <c r="E17">
        <v>0.99999899999999997</v>
      </c>
      <c r="F17">
        <v>9.9999999999999995E-7</v>
      </c>
      <c r="G17">
        <v>9.9999999999999995E-7</v>
      </c>
      <c r="H17">
        <v>9.9999999999999995E-7</v>
      </c>
      <c r="I17">
        <v>9.9999999999999995E-7</v>
      </c>
      <c r="J17">
        <v>9.9999999999999995E-7</v>
      </c>
      <c r="K17">
        <v>9.9999999999999995E-7</v>
      </c>
      <c r="L17">
        <v>9.9999999999999995E-7</v>
      </c>
      <c r="M17">
        <v>9.9999999999999995E-7</v>
      </c>
      <c r="N17">
        <v>9.9999999999999995E-7</v>
      </c>
      <c r="O17">
        <v>9.9999999999999995E-7</v>
      </c>
      <c r="P17">
        <v>9.9999999999999995E-7</v>
      </c>
      <c r="Q17">
        <v>9.9999999999999995E-7</v>
      </c>
      <c r="R17">
        <v>9.9999999999999995E-7</v>
      </c>
      <c r="S17">
        <v>9.9999999999999995E-7</v>
      </c>
      <c r="T17">
        <v>9.9999999999999995E-7</v>
      </c>
      <c r="V17">
        <f t="shared" si="2"/>
        <v>0.99999899999999997</v>
      </c>
      <c r="W17">
        <f t="shared" si="1"/>
        <v>9.9999999999999995E-7</v>
      </c>
      <c r="X17">
        <f t="shared" si="1"/>
        <v>9.9999999999999995E-7</v>
      </c>
      <c r="Y17">
        <f t="shared" si="1"/>
        <v>9.9999999999999995E-7</v>
      </c>
      <c r="Z17">
        <f t="shared" si="1"/>
        <v>9.9999999999999995E-7</v>
      </c>
      <c r="AA17">
        <f t="shared" si="1"/>
        <v>9.9999999999999995E-7</v>
      </c>
      <c r="AB17">
        <f t="shared" si="1"/>
        <v>9.9999999999999995E-7</v>
      </c>
      <c r="AC17">
        <f t="shared" si="1"/>
        <v>9.9999999999999995E-7</v>
      </c>
      <c r="AD17">
        <f t="shared" si="1"/>
        <v>9.9999999999999995E-7</v>
      </c>
      <c r="AE17">
        <f t="shared" si="1"/>
        <v>9.9999999999999995E-7</v>
      </c>
      <c r="AF17">
        <f t="shared" si="1"/>
        <v>9.9999999999999995E-7</v>
      </c>
      <c r="AG17">
        <f t="shared" si="1"/>
        <v>9.9999999999999995E-7</v>
      </c>
      <c r="AH17">
        <f t="shared" si="1"/>
        <v>9.9999999999999995E-7</v>
      </c>
      <c r="AI17">
        <f t="shared" si="1"/>
        <v>9.9999999999999995E-7</v>
      </c>
      <c r="AJ17">
        <f t="shared" si="1"/>
        <v>9.9999999999999995E-7</v>
      </c>
      <c r="AK17">
        <f t="shared" si="1"/>
        <v>9.9999999999999995E-7</v>
      </c>
    </row>
    <row r="18" spans="1:37" x14ac:dyDescent="0.35">
      <c r="A18" t="s">
        <v>33</v>
      </c>
      <c r="B18" t="s">
        <v>34</v>
      </c>
      <c r="C18" s="7">
        <v>0.78500000000000003</v>
      </c>
    </row>
    <row r="19" spans="1:37" x14ac:dyDescent="0.35">
      <c r="A19" s="8"/>
    </row>
    <row r="20" spans="1:37" x14ac:dyDescent="0.35">
      <c r="A20" s="9"/>
    </row>
    <row r="21" spans="1:37" x14ac:dyDescent="0.35">
      <c r="A21" s="9"/>
    </row>
    <row r="22" spans="1:37" x14ac:dyDescent="0.35">
      <c r="A22" s="9"/>
    </row>
    <row r="23" spans="1:37" x14ac:dyDescent="0.35">
      <c r="A23" s="5"/>
      <c r="B23" t="s">
        <v>12</v>
      </c>
      <c r="C23" t="s">
        <v>13</v>
      </c>
      <c r="D23" t="s">
        <v>14</v>
      </c>
      <c r="E23" t="s">
        <v>15</v>
      </c>
      <c r="F23" t="s">
        <v>35</v>
      </c>
      <c r="G23" t="s">
        <v>33</v>
      </c>
      <c r="H23" t="s">
        <v>36</v>
      </c>
      <c r="I23" s="7">
        <v>0.7</v>
      </c>
      <c r="L23" t="s">
        <v>37</v>
      </c>
    </row>
    <row r="24" spans="1:37" x14ac:dyDescent="0.35">
      <c r="A24" s="6"/>
      <c r="B24" t="s">
        <v>16</v>
      </c>
      <c r="C24" t="s">
        <v>38</v>
      </c>
      <c r="D24" t="s">
        <v>39</v>
      </c>
      <c r="E24" s="7">
        <v>0.46500000000000002</v>
      </c>
      <c r="L24">
        <v>1</v>
      </c>
      <c r="M24">
        <v>0.78500000000000003</v>
      </c>
    </row>
    <row r="25" spans="1:37" x14ac:dyDescent="0.35">
      <c r="A25" s="6"/>
      <c r="B25" t="s">
        <v>16</v>
      </c>
      <c r="C25" t="s">
        <v>35</v>
      </c>
      <c r="D25" t="s">
        <v>40</v>
      </c>
      <c r="E25" s="7">
        <v>0.5</v>
      </c>
      <c r="L25">
        <v>2</v>
      </c>
      <c r="M25">
        <v>0.7</v>
      </c>
    </row>
    <row r="26" spans="1:37" x14ac:dyDescent="0.35">
      <c r="A26" s="6"/>
      <c r="B26" t="s">
        <v>16</v>
      </c>
      <c r="C26" t="s">
        <v>41</v>
      </c>
      <c r="D26" t="s">
        <v>42</v>
      </c>
      <c r="E26" s="7">
        <v>0.61699999999999999</v>
      </c>
      <c r="L26">
        <v>3</v>
      </c>
      <c r="M26">
        <v>0.63300000000000001</v>
      </c>
    </row>
    <row r="27" spans="1:37" x14ac:dyDescent="0.35">
      <c r="A27" s="6"/>
      <c r="B27" t="s">
        <v>16</v>
      </c>
      <c r="C27" t="s">
        <v>43</v>
      </c>
      <c r="D27" t="s">
        <v>44</v>
      </c>
      <c r="E27" s="7">
        <v>0.44400000000000001</v>
      </c>
      <c r="L27">
        <v>4</v>
      </c>
      <c r="M27">
        <v>0.59299999999999997</v>
      </c>
    </row>
    <row r="28" spans="1:37" x14ac:dyDescent="0.35">
      <c r="A28" s="6"/>
      <c r="B28" t="s">
        <v>16</v>
      </c>
      <c r="C28" t="s">
        <v>45</v>
      </c>
      <c r="D28" t="s">
        <v>46</v>
      </c>
      <c r="E28" s="7">
        <v>0.2</v>
      </c>
      <c r="L28">
        <v>5</v>
      </c>
      <c r="M28">
        <v>0.52800000000000002</v>
      </c>
    </row>
    <row r="29" spans="1:37" x14ac:dyDescent="0.35">
      <c r="A29" s="6"/>
      <c r="B29" t="s">
        <v>16</v>
      </c>
      <c r="C29" t="s">
        <v>47</v>
      </c>
      <c r="D29" t="s">
        <v>48</v>
      </c>
      <c r="E29" s="7">
        <v>0.72199999999999998</v>
      </c>
      <c r="L29">
        <v>6</v>
      </c>
      <c r="M29">
        <v>0.54400000000000004</v>
      </c>
    </row>
    <row r="30" spans="1:37" x14ac:dyDescent="0.35">
      <c r="A30" s="6"/>
      <c r="B30" t="s">
        <v>16</v>
      </c>
      <c r="C30" t="s">
        <v>49</v>
      </c>
      <c r="D30" t="s">
        <v>50</v>
      </c>
      <c r="E30" s="7">
        <v>0.72199999999999998</v>
      </c>
      <c r="L30">
        <v>7</v>
      </c>
      <c r="M30">
        <v>0.47</v>
      </c>
    </row>
    <row r="31" spans="1:37" x14ac:dyDescent="0.35">
      <c r="A31" s="6"/>
      <c r="B31" t="s">
        <v>16</v>
      </c>
      <c r="C31" t="s">
        <v>51</v>
      </c>
      <c r="D31" t="s">
        <v>44</v>
      </c>
      <c r="E31" s="7">
        <v>0.44400000000000001</v>
      </c>
      <c r="L31">
        <v>8</v>
      </c>
      <c r="M31">
        <v>0.437</v>
      </c>
    </row>
    <row r="32" spans="1:37" x14ac:dyDescent="0.35">
      <c r="A32" s="6"/>
      <c r="B32" t="s">
        <v>16</v>
      </c>
      <c r="C32" t="s">
        <v>52</v>
      </c>
      <c r="D32" t="s">
        <v>53</v>
      </c>
      <c r="E32" s="7">
        <v>0.5</v>
      </c>
      <c r="L32">
        <v>9</v>
      </c>
      <c r="M32">
        <v>0.35899999999999999</v>
      </c>
    </row>
    <row r="33" spans="1:13" x14ac:dyDescent="0.35">
      <c r="A33" s="6"/>
      <c r="B33" t="s">
        <v>16</v>
      </c>
      <c r="C33" t="s">
        <v>54</v>
      </c>
      <c r="D33" t="s">
        <v>55</v>
      </c>
      <c r="E33" s="7">
        <v>0.59299999999999997</v>
      </c>
      <c r="L33">
        <v>10</v>
      </c>
      <c r="M33">
        <v>0.39200000000000002</v>
      </c>
    </row>
    <row r="34" spans="1:13" x14ac:dyDescent="0.35">
      <c r="A34" s="6"/>
      <c r="B34" t="s">
        <v>16</v>
      </c>
      <c r="C34" t="s">
        <v>56</v>
      </c>
      <c r="D34" t="s">
        <v>57</v>
      </c>
      <c r="E34" s="7">
        <v>0.92900000000000005</v>
      </c>
      <c r="L34">
        <v>11</v>
      </c>
      <c r="M34">
        <v>0.35099999999999998</v>
      </c>
    </row>
    <row r="35" spans="1:13" x14ac:dyDescent="0.35">
      <c r="A35" s="6"/>
      <c r="B35" t="s">
        <v>16</v>
      </c>
      <c r="C35" t="s">
        <v>58</v>
      </c>
      <c r="D35" t="s">
        <v>59</v>
      </c>
      <c r="E35" s="7">
        <v>1</v>
      </c>
      <c r="L35">
        <v>12</v>
      </c>
      <c r="M35">
        <v>0.32100000000000001</v>
      </c>
    </row>
    <row r="36" spans="1:13" x14ac:dyDescent="0.35">
      <c r="A36" s="6"/>
      <c r="B36" t="s">
        <v>16</v>
      </c>
      <c r="C36" t="s">
        <v>60</v>
      </c>
      <c r="D36" t="s">
        <v>30</v>
      </c>
      <c r="E36" s="7">
        <v>0</v>
      </c>
      <c r="L36">
        <v>13</v>
      </c>
      <c r="M36">
        <v>0.19500000000000001</v>
      </c>
    </row>
    <row r="37" spans="1:13" x14ac:dyDescent="0.35">
      <c r="A37" s="6"/>
      <c r="B37" t="s">
        <v>16</v>
      </c>
      <c r="C37" t="s">
        <v>61</v>
      </c>
      <c r="D37" t="s">
        <v>30</v>
      </c>
      <c r="E37" s="7">
        <v>0</v>
      </c>
      <c r="L37">
        <v>14</v>
      </c>
      <c r="M37">
        <v>0.152</v>
      </c>
    </row>
    <row r="38" spans="1:13" x14ac:dyDescent="0.35">
      <c r="A38" s="6"/>
      <c r="B38" t="s">
        <v>16</v>
      </c>
      <c r="C38" t="s">
        <v>62</v>
      </c>
      <c r="D38" t="s">
        <v>63</v>
      </c>
      <c r="E38" s="7">
        <v>0.93</v>
      </c>
      <c r="L38">
        <v>15</v>
      </c>
      <c r="M38">
        <v>9.5000000000000001E-2</v>
      </c>
    </row>
    <row r="39" spans="1:13" x14ac:dyDescent="0.35">
      <c r="A39" s="6"/>
      <c r="B39" t="s">
        <v>16</v>
      </c>
      <c r="C39" t="s">
        <v>64</v>
      </c>
      <c r="D39" t="s">
        <v>30</v>
      </c>
      <c r="E39" s="7">
        <v>0</v>
      </c>
      <c r="L39">
        <v>16</v>
      </c>
      <c r="M39">
        <v>9.9999999999999995E-7</v>
      </c>
    </row>
    <row r="40" spans="1:13" x14ac:dyDescent="0.35">
      <c r="A40" s="9"/>
    </row>
    <row r="41" spans="1:13" x14ac:dyDescent="0.35">
      <c r="A41" s="8"/>
    </row>
    <row r="42" spans="1:13" x14ac:dyDescent="0.35">
      <c r="A42" s="9"/>
    </row>
    <row r="43" spans="1:13" x14ac:dyDescent="0.35">
      <c r="A43" s="9"/>
    </row>
    <row r="44" spans="1:13" x14ac:dyDescent="0.35">
      <c r="A44" s="9"/>
    </row>
    <row r="45" spans="1:13" x14ac:dyDescent="0.35">
      <c r="A45" s="5"/>
      <c r="B45" t="s">
        <v>12</v>
      </c>
      <c r="C45" t="s">
        <v>13</v>
      </c>
      <c r="D45" t="s">
        <v>14</v>
      </c>
      <c r="E45" t="s">
        <v>15</v>
      </c>
      <c r="F45" t="s">
        <v>41</v>
      </c>
      <c r="G45" t="s">
        <v>33</v>
      </c>
      <c r="H45" t="s">
        <v>65</v>
      </c>
      <c r="I45" s="7">
        <v>0.63300000000000001</v>
      </c>
    </row>
    <row r="46" spans="1:13" x14ac:dyDescent="0.35">
      <c r="A46" s="6"/>
      <c r="B46" t="s">
        <v>16</v>
      </c>
      <c r="C46" t="s">
        <v>38</v>
      </c>
      <c r="D46" t="s">
        <v>66</v>
      </c>
      <c r="E46" s="7">
        <v>0.39400000000000002</v>
      </c>
    </row>
    <row r="47" spans="1:13" x14ac:dyDescent="0.35">
      <c r="A47" s="6"/>
      <c r="B47" t="s">
        <v>16</v>
      </c>
      <c r="C47" t="s">
        <v>35</v>
      </c>
      <c r="D47" t="s">
        <v>67</v>
      </c>
      <c r="E47" s="7">
        <v>0.38300000000000001</v>
      </c>
    </row>
    <row r="48" spans="1:13" x14ac:dyDescent="0.35">
      <c r="A48" s="6"/>
      <c r="B48" t="s">
        <v>16</v>
      </c>
      <c r="C48" t="s">
        <v>41</v>
      </c>
      <c r="D48" t="s">
        <v>53</v>
      </c>
      <c r="E48" s="7">
        <v>0.5</v>
      </c>
    </row>
    <row r="49" spans="1:5" x14ac:dyDescent="0.35">
      <c r="A49" s="6"/>
      <c r="B49" t="s">
        <v>16</v>
      </c>
      <c r="C49" t="s">
        <v>43</v>
      </c>
      <c r="D49" t="s">
        <v>68</v>
      </c>
      <c r="E49" s="7">
        <v>0.625</v>
      </c>
    </row>
    <row r="50" spans="1:5" x14ac:dyDescent="0.35">
      <c r="A50" s="6"/>
      <c r="B50" t="s">
        <v>16</v>
      </c>
      <c r="C50" t="s">
        <v>45</v>
      </c>
      <c r="D50" t="s">
        <v>40</v>
      </c>
      <c r="E50" s="7">
        <v>0.5</v>
      </c>
    </row>
    <row r="51" spans="1:5" x14ac:dyDescent="0.35">
      <c r="A51" s="6"/>
      <c r="B51" t="s">
        <v>16</v>
      </c>
      <c r="C51" t="s">
        <v>47</v>
      </c>
      <c r="D51" t="s">
        <v>69</v>
      </c>
      <c r="E51" s="7">
        <v>0.54800000000000004</v>
      </c>
    </row>
    <row r="52" spans="1:5" x14ac:dyDescent="0.35">
      <c r="A52" s="6"/>
      <c r="B52" t="s">
        <v>16</v>
      </c>
      <c r="C52" t="s">
        <v>49</v>
      </c>
      <c r="D52" t="s">
        <v>70</v>
      </c>
      <c r="E52" s="7">
        <v>0.6</v>
      </c>
    </row>
    <row r="53" spans="1:5" x14ac:dyDescent="0.35">
      <c r="A53" s="6"/>
      <c r="B53" t="s">
        <v>16</v>
      </c>
      <c r="C53" t="s">
        <v>51</v>
      </c>
      <c r="D53" t="s">
        <v>71</v>
      </c>
      <c r="E53" s="7">
        <v>1</v>
      </c>
    </row>
    <row r="54" spans="1:5" x14ac:dyDescent="0.35">
      <c r="A54" s="6"/>
      <c r="B54" t="s">
        <v>16</v>
      </c>
      <c r="C54" t="s">
        <v>52</v>
      </c>
      <c r="D54" t="s">
        <v>71</v>
      </c>
      <c r="E54" s="7">
        <v>1</v>
      </c>
    </row>
    <row r="55" spans="1:5" x14ac:dyDescent="0.35">
      <c r="A55" s="6"/>
      <c r="B55" t="s">
        <v>16</v>
      </c>
      <c r="C55" t="s">
        <v>54</v>
      </c>
      <c r="D55" t="s">
        <v>72</v>
      </c>
      <c r="E55" s="7">
        <v>0.69199999999999995</v>
      </c>
    </row>
    <row r="56" spans="1:5" x14ac:dyDescent="0.35">
      <c r="A56" s="6"/>
      <c r="B56" t="s">
        <v>16</v>
      </c>
      <c r="C56" t="s">
        <v>56</v>
      </c>
      <c r="D56" t="s">
        <v>73</v>
      </c>
      <c r="E56" s="7">
        <v>0.70799999999999996</v>
      </c>
    </row>
    <row r="57" spans="1:5" x14ac:dyDescent="0.35">
      <c r="A57" s="6"/>
      <c r="B57" t="s">
        <v>16</v>
      </c>
      <c r="C57" t="s">
        <v>58</v>
      </c>
      <c r="D57" t="s">
        <v>30</v>
      </c>
      <c r="E57" s="7">
        <v>0</v>
      </c>
    </row>
    <row r="58" spans="1:5" x14ac:dyDescent="0.35">
      <c r="A58" s="6"/>
      <c r="B58" t="s">
        <v>16</v>
      </c>
      <c r="C58" t="s">
        <v>60</v>
      </c>
      <c r="D58" t="s">
        <v>30</v>
      </c>
      <c r="E58" s="7">
        <v>0</v>
      </c>
    </row>
    <row r="59" spans="1:5" x14ac:dyDescent="0.35">
      <c r="A59" s="6"/>
      <c r="B59" t="s">
        <v>16</v>
      </c>
      <c r="C59" t="s">
        <v>61</v>
      </c>
      <c r="D59" t="s">
        <v>74</v>
      </c>
      <c r="E59" s="7">
        <v>0.83599999999999997</v>
      </c>
    </row>
    <row r="60" spans="1:5" x14ac:dyDescent="0.35">
      <c r="A60" s="6"/>
      <c r="B60" t="s">
        <v>16</v>
      </c>
      <c r="C60" t="s">
        <v>62</v>
      </c>
      <c r="D60" t="s">
        <v>53</v>
      </c>
      <c r="E60" s="7">
        <v>0.5</v>
      </c>
    </row>
    <row r="61" spans="1:5" x14ac:dyDescent="0.35">
      <c r="A61" s="6"/>
      <c r="B61" t="s">
        <v>16</v>
      </c>
      <c r="C61" t="s">
        <v>64</v>
      </c>
      <c r="D61" t="s">
        <v>30</v>
      </c>
      <c r="E61" s="7">
        <v>0</v>
      </c>
    </row>
    <row r="62" spans="1:5" x14ac:dyDescent="0.35">
      <c r="A62" s="9"/>
    </row>
    <row r="63" spans="1:5" x14ac:dyDescent="0.35">
      <c r="A63" s="8"/>
    </row>
    <row r="64" spans="1:5" x14ac:dyDescent="0.35">
      <c r="A64" s="9"/>
    </row>
    <row r="65" spans="1:9" x14ac:dyDescent="0.35">
      <c r="A65" s="9"/>
    </row>
    <row r="66" spans="1:9" x14ac:dyDescent="0.35">
      <c r="A66" s="9"/>
    </row>
    <row r="67" spans="1:9" x14ac:dyDescent="0.35">
      <c r="A67" s="5"/>
      <c r="B67" t="s">
        <v>12</v>
      </c>
      <c r="C67" t="s">
        <v>13</v>
      </c>
      <c r="D67" t="s">
        <v>14</v>
      </c>
      <c r="E67" t="s">
        <v>15</v>
      </c>
      <c r="F67" t="s">
        <v>43</v>
      </c>
      <c r="G67" t="s">
        <v>33</v>
      </c>
      <c r="H67" t="s">
        <v>75</v>
      </c>
      <c r="I67" s="7">
        <v>0.59299999999999997</v>
      </c>
    </row>
    <row r="68" spans="1:9" x14ac:dyDescent="0.35">
      <c r="A68" s="6"/>
      <c r="B68" t="s">
        <v>16</v>
      </c>
      <c r="C68" t="s">
        <v>38</v>
      </c>
      <c r="D68" t="s">
        <v>76</v>
      </c>
      <c r="E68" s="7">
        <v>0.314</v>
      </c>
    </row>
    <row r="69" spans="1:9" x14ac:dyDescent="0.35">
      <c r="A69" s="6"/>
      <c r="B69" t="s">
        <v>16</v>
      </c>
      <c r="C69" t="s">
        <v>35</v>
      </c>
      <c r="D69" t="s">
        <v>77</v>
      </c>
      <c r="E69" s="7">
        <v>0.55600000000000005</v>
      </c>
    </row>
    <row r="70" spans="1:9" x14ac:dyDescent="0.35">
      <c r="A70" s="6"/>
      <c r="B70" t="s">
        <v>16</v>
      </c>
      <c r="C70" t="s">
        <v>41</v>
      </c>
      <c r="D70" t="s">
        <v>78</v>
      </c>
      <c r="E70" s="7">
        <v>0.375</v>
      </c>
    </row>
    <row r="71" spans="1:9" x14ac:dyDescent="0.35">
      <c r="A71" s="6"/>
      <c r="B71" t="s">
        <v>16</v>
      </c>
      <c r="C71" t="s">
        <v>43</v>
      </c>
      <c r="D71" t="s">
        <v>53</v>
      </c>
      <c r="E71" s="7">
        <v>0.5</v>
      </c>
    </row>
    <row r="72" spans="1:9" x14ac:dyDescent="0.35">
      <c r="A72" s="6"/>
      <c r="B72" t="s">
        <v>16</v>
      </c>
      <c r="C72" t="s">
        <v>45</v>
      </c>
      <c r="D72" t="s">
        <v>79</v>
      </c>
      <c r="E72" s="7">
        <v>0.55100000000000005</v>
      </c>
    </row>
    <row r="73" spans="1:9" x14ac:dyDescent="0.35">
      <c r="A73" s="6"/>
      <c r="B73" t="s">
        <v>16</v>
      </c>
      <c r="C73" t="s">
        <v>47</v>
      </c>
      <c r="D73" t="s">
        <v>80</v>
      </c>
      <c r="E73" s="7">
        <v>0.33300000000000002</v>
      </c>
    </row>
    <row r="74" spans="1:9" x14ac:dyDescent="0.35">
      <c r="A74" s="6"/>
      <c r="B74" t="s">
        <v>16</v>
      </c>
      <c r="C74" t="s">
        <v>49</v>
      </c>
      <c r="D74" t="s">
        <v>81</v>
      </c>
      <c r="E74" s="7">
        <v>0.4</v>
      </c>
    </row>
    <row r="75" spans="1:9" x14ac:dyDescent="0.35">
      <c r="A75" s="6"/>
      <c r="B75" t="s">
        <v>16</v>
      </c>
      <c r="C75" t="s">
        <v>51</v>
      </c>
      <c r="D75" t="s">
        <v>82</v>
      </c>
      <c r="E75" s="7">
        <v>0.3</v>
      </c>
    </row>
    <row r="76" spans="1:9" x14ac:dyDescent="0.35">
      <c r="A76" s="6"/>
      <c r="B76" t="s">
        <v>16</v>
      </c>
      <c r="C76" t="s">
        <v>52</v>
      </c>
      <c r="D76" t="s">
        <v>83</v>
      </c>
      <c r="E76" s="7">
        <v>0.66700000000000004</v>
      </c>
    </row>
    <row r="77" spans="1:9" x14ac:dyDescent="0.35">
      <c r="A77" s="6"/>
      <c r="B77" t="s">
        <v>16</v>
      </c>
      <c r="C77" t="s">
        <v>54</v>
      </c>
      <c r="D77" t="s">
        <v>71</v>
      </c>
      <c r="E77" s="7">
        <v>1</v>
      </c>
    </row>
    <row r="78" spans="1:9" x14ac:dyDescent="0.35">
      <c r="A78" s="6"/>
      <c r="B78" t="s">
        <v>16</v>
      </c>
      <c r="C78" t="s">
        <v>56</v>
      </c>
      <c r="D78" t="s">
        <v>30</v>
      </c>
      <c r="E78" s="7">
        <v>0</v>
      </c>
    </row>
    <row r="79" spans="1:9" x14ac:dyDescent="0.35">
      <c r="A79" s="6"/>
      <c r="B79" t="s">
        <v>16</v>
      </c>
      <c r="C79" t="s">
        <v>58</v>
      </c>
      <c r="D79" t="s">
        <v>84</v>
      </c>
      <c r="E79" s="7">
        <v>0.68400000000000005</v>
      </c>
    </row>
    <row r="80" spans="1:9" x14ac:dyDescent="0.35">
      <c r="A80" s="6"/>
      <c r="B80" t="s">
        <v>16</v>
      </c>
      <c r="C80" t="s">
        <v>60</v>
      </c>
      <c r="D80" t="s">
        <v>85</v>
      </c>
      <c r="E80" s="7">
        <v>0.80300000000000005</v>
      </c>
    </row>
    <row r="81" spans="1:9" x14ac:dyDescent="0.35">
      <c r="A81" s="6"/>
      <c r="B81" t="s">
        <v>16</v>
      </c>
      <c r="C81" t="s">
        <v>61</v>
      </c>
      <c r="D81" t="s">
        <v>30</v>
      </c>
      <c r="E81" s="7">
        <v>0</v>
      </c>
    </row>
    <row r="82" spans="1:9" x14ac:dyDescent="0.35">
      <c r="A82" s="6"/>
      <c r="B82" t="s">
        <v>16</v>
      </c>
      <c r="C82" t="s">
        <v>62</v>
      </c>
      <c r="D82" t="s">
        <v>30</v>
      </c>
      <c r="E82" s="7">
        <v>0</v>
      </c>
    </row>
    <row r="83" spans="1:9" x14ac:dyDescent="0.35">
      <c r="A83" s="6"/>
      <c r="B83" t="s">
        <v>16</v>
      </c>
      <c r="C83" t="s">
        <v>64</v>
      </c>
      <c r="D83" t="s">
        <v>30</v>
      </c>
      <c r="E83" s="7">
        <v>0</v>
      </c>
    </row>
    <row r="84" spans="1:9" x14ac:dyDescent="0.35">
      <c r="A84" s="9"/>
    </row>
    <row r="85" spans="1:9" x14ac:dyDescent="0.35">
      <c r="A85" s="8"/>
    </row>
    <row r="86" spans="1:9" x14ac:dyDescent="0.35">
      <c r="A86" s="9"/>
    </row>
    <row r="87" spans="1:9" x14ac:dyDescent="0.35">
      <c r="A87" s="9"/>
    </row>
    <row r="88" spans="1:9" x14ac:dyDescent="0.35">
      <c r="A88" s="9"/>
    </row>
    <row r="89" spans="1:9" x14ac:dyDescent="0.35">
      <c r="A89" s="5"/>
      <c r="B89" t="s">
        <v>12</v>
      </c>
      <c r="C89" t="s">
        <v>13</v>
      </c>
      <c r="D89" t="s">
        <v>14</v>
      </c>
      <c r="E89" t="s">
        <v>15</v>
      </c>
      <c r="F89" t="s">
        <v>45</v>
      </c>
      <c r="G89" t="s">
        <v>33</v>
      </c>
      <c r="H89" t="s">
        <v>86</v>
      </c>
      <c r="I89" s="7">
        <v>0.52800000000000002</v>
      </c>
    </row>
    <row r="90" spans="1:9" x14ac:dyDescent="0.35">
      <c r="A90" s="6"/>
      <c r="B90" t="s">
        <v>16</v>
      </c>
      <c r="C90" t="s">
        <v>38</v>
      </c>
      <c r="D90" t="s">
        <v>87</v>
      </c>
      <c r="E90" s="7">
        <v>0.16</v>
      </c>
    </row>
    <row r="91" spans="1:9" x14ac:dyDescent="0.35">
      <c r="A91" s="6"/>
      <c r="B91" t="s">
        <v>16</v>
      </c>
      <c r="C91" t="s">
        <v>35</v>
      </c>
      <c r="D91" t="s">
        <v>88</v>
      </c>
      <c r="E91" s="7">
        <v>0.8</v>
      </c>
    </row>
    <row r="92" spans="1:9" x14ac:dyDescent="0.35">
      <c r="A92" s="6"/>
      <c r="B92" t="s">
        <v>16</v>
      </c>
      <c r="C92" t="s">
        <v>41</v>
      </c>
      <c r="D92" t="s">
        <v>40</v>
      </c>
      <c r="E92" s="7">
        <v>0.5</v>
      </c>
    </row>
    <row r="93" spans="1:9" x14ac:dyDescent="0.35">
      <c r="A93" s="6"/>
      <c r="B93" t="s">
        <v>16</v>
      </c>
      <c r="C93" t="s">
        <v>43</v>
      </c>
      <c r="D93" t="s">
        <v>89</v>
      </c>
      <c r="E93" s="7">
        <v>0.44900000000000001</v>
      </c>
    </row>
    <row r="94" spans="1:9" x14ac:dyDescent="0.35">
      <c r="A94" s="6"/>
      <c r="B94" t="s">
        <v>16</v>
      </c>
      <c r="C94" t="s">
        <v>45</v>
      </c>
      <c r="D94" t="s">
        <v>53</v>
      </c>
      <c r="E94" s="7">
        <v>0.5</v>
      </c>
    </row>
    <row r="95" spans="1:9" x14ac:dyDescent="0.35">
      <c r="A95" s="6"/>
      <c r="B95" t="s">
        <v>16</v>
      </c>
      <c r="C95" t="s">
        <v>47</v>
      </c>
      <c r="D95" t="s">
        <v>59</v>
      </c>
      <c r="E95" s="7">
        <v>1</v>
      </c>
    </row>
    <row r="96" spans="1:9" x14ac:dyDescent="0.35">
      <c r="A96" s="6"/>
      <c r="B96" t="s">
        <v>16</v>
      </c>
      <c r="C96" t="s">
        <v>49</v>
      </c>
      <c r="D96" t="s">
        <v>30</v>
      </c>
      <c r="E96" s="7">
        <v>0</v>
      </c>
    </row>
    <row r="97" spans="1:9" x14ac:dyDescent="0.35">
      <c r="A97" s="6"/>
      <c r="B97" t="s">
        <v>16</v>
      </c>
      <c r="C97" t="s">
        <v>51</v>
      </c>
      <c r="D97" t="s">
        <v>90</v>
      </c>
      <c r="E97" s="7">
        <v>0.25</v>
      </c>
    </row>
    <row r="98" spans="1:9" x14ac:dyDescent="0.35">
      <c r="A98" s="6"/>
      <c r="B98" t="s">
        <v>16</v>
      </c>
      <c r="C98" t="s">
        <v>52</v>
      </c>
      <c r="D98" t="s">
        <v>91</v>
      </c>
      <c r="E98" s="7">
        <v>0.33300000000000002</v>
      </c>
    </row>
    <row r="99" spans="1:9" x14ac:dyDescent="0.35">
      <c r="A99" s="6"/>
      <c r="B99" t="s">
        <v>16</v>
      </c>
      <c r="C99" t="s">
        <v>54</v>
      </c>
      <c r="D99" t="s">
        <v>59</v>
      </c>
      <c r="E99" s="7">
        <v>1</v>
      </c>
    </row>
    <row r="100" spans="1:9" x14ac:dyDescent="0.35">
      <c r="A100" s="6"/>
      <c r="B100" t="s">
        <v>16</v>
      </c>
      <c r="C100" t="s">
        <v>56</v>
      </c>
      <c r="D100" t="s">
        <v>30</v>
      </c>
      <c r="E100" s="7">
        <v>0</v>
      </c>
    </row>
    <row r="101" spans="1:9" x14ac:dyDescent="0.35">
      <c r="A101" s="6"/>
      <c r="B101" t="s">
        <v>16</v>
      </c>
      <c r="C101" t="s">
        <v>58</v>
      </c>
      <c r="D101" t="s">
        <v>92</v>
      </c>
      <c r="E101" s="7">
        <v>0.66900000000000004</v>
      </c>
    </row>
    <row r="102" spans="1:9" x14ac:dyDescent="0.35">
      <c r="A102" s="6"/>
      <c r="B102" t="s">
        <v>16</v>
      </c>
      <c r="C102" t="s">
        <v>60</v>
      </c>
      <c r="D102" t="s">
        <v>93</v>
      </c>
      <c r="E102" s="7">
        <v>0.8</v>
      </c>
    </row>
    <row r="103" spans="1:9" x14ac:dyDescent="0.35">
      <c r="A103" s="6"/>
      <c r="B103" t="s">
        <v>16</v>
      </c>
      <c r="C103" t="s">
        <v>61</v>
      </c>
      <c r="D103" t="s">
        <v>30</v>
      </c>
      <c r="E103" s="7">
        <v>0</v>
      </c>
    </row>
    <row r="104" spans="1:9" x14ac:dyDescent="0.35">
      <c r="A104" s="6"/>
      <c r="B104" t="s">
        <v>16</v>
      </c>
      <c r="C104" t="s">
        <v>62</v>
      </c>
      <c r="D104" t="s">
        <v>30</v>
      </c>
      <c r="E104" s="7">
        <v>0</v>
      </c>
    </row>
    <row r="105" spans="1:9" x14ac:dyDescent="0.35">
      <c r="A105" s="6"/>
      <c r="B105" t="s">
        <v>16</v>
      </c>
      <c r="C105" t="s">
        <v>64</v>
      </c>
      <c r="D105" t="s">
        <v>30</v>
      </c>
      <c r="E105" s="7">
        <v>0</v>
      </c>
    </row>
    <row r="106" spans="1:9" x14ac:dyDescent="0.35">
      <c r="A106" s="9"/>
    </row>
    <row r="107" spans="1:9" x14ac:dyDescent="0.35">
      <c r="A107" s="8"/>
    </row>
    <row r="108" spans="1:9" x14ac:dyDescent="0.35">
      <c r="A108" s="9"/>
    </row>
    <row r="109" spans="1:9" x14ac:dyDescent="0.35">
      <c r="A109" s="9"/>
    </row>
    <row r="110" spans="1:9" x14ac:dyDescent="0.35">
      <c r="A110" s="9"/>
    </row>
    <row r="111" spans="1:9" x14ac:dyDescent="0.35">
      <c r="A111" s="5"/>
      <c r="B111" t="s">
        <v>12</v>
      </c>
      <c r="C111" t="s">
        <v>13</v>
      </c>
      <c r="D111" t="s">
        <v>14</v>
      </c>
      <c r="E111" t="s">
        <v>15</v>
      </c>
      <c r="F111" t="s">
        <v>47</v>
      </c>
      <c r="G111" t="s">
        <v>33</v>
      </c>
      <c r="H111" t="s">
        <v>94</v>
      </c>
      <c r="I111" s="7">
        <v>0.54400000000000004</v>
      </c>
    </row>
    <row r="112" spans="1:9" x14ac:dyDescent="0.35">
      <c r="A112" s="6"/>
      <c r="B112" t="s">
        <v>16</v>
      </c>
      <c r="C112" t="s">
        <v>38</v>
      </c>
      <c r="D112" t="s">
        <v>95</v>
      </c>
      <c r="E112" s="7">
        <v>0.313</v>
      </c>
    </row>
    <row r="113" spans="1:5" x14ac:dyDescent="0.35">
      <c r="A113" s="6"/>
      <c r="B113" t="s">
        <v>16</v>
      </c>
      <c r="C113" t="s">
        <v>35</v>
      </c>
      <c r="D113" t="s">
        <v>96</v>
      </c>
      <c r="E113" s="7">
        <v>0.27800000000000002</v>
      </c>
    </row>
    <row r="114" spans="1:5" x14ac:dyDescent="0.35">
      <c r="A114" s="6"/>
      <c r="B114" t="s">
        <v>16</v>
      </c>
      <c r="C114" t="s">
        <v>41</v>
      </c>
      <c r="D114" t="s">
        <v>97</v>
      </c>
      <c r="E114" s="7">
        <v>0.45200000000000001</v>
      </c>
    </row>
    <row r="115" spans="1:5" x14ac:dyDescent="0.35">
      <c r="A115" s="6"/>
      <c r="B115" t="s">
        <v>16</v>
      </c>
      <c r="C115" t="s">
        <v>43</v>
      </c>
      <c r="D115" t="s">
        <v>98</v>
      </c>
      <c r="E115" s="7">
        <v>0.66700000000000004</v>
      </c>
    </row>
    <row r="116" spans="1:5" x14ac:dyDescent="0.35">
      <c r="A116" s="6"/>
      <c r="B116" t="s">
        <v>16</v>
      </c>
      <c r="C116" t="s">
        <v>45</v>
      </c>
      <c r="D116" t="s">
        <v>31</v>
      </c>
      <c r="E116" s="7">
        <v>0</v>
      </c>
    </row>
    <row r="117" spans="1:5" x14ac:dyDescent="0.35">
      <c r="A117" s="6"/>
      <c r="B117" t="s">
        <v>16</v>
      </c>
      <c r="C117" t="s">
        <v>47</v>
      </c>
      <c r="D117" t="s">
        <v>30</v>
      </c>
      <c r="E117" s="7">
        <v>0</v>
      </c>
    </row>
    <row r="118" spans="1:5" x14ac:dyDescent="0.35">
      <c r="A118" s="6"/>
      <c r="B118" t="s">
        <v>16</v>
      </c>
      <c r="C118" t="s">
        <v>49</v>
      </c>
      <c r="D118" t="s">
        <v>68</v>
      </c>
      <c r="E118" s="7">
        <v>0.625</v>
      </c>
    </row>
    <row r="119" spans="1:5" x14ac:dyDescent="0.35">
      <c r="A119" s="6"/>
      <c r="B119" t="s">
        <v>16</v>
      </c>
      <c r="C119" t="s">
        <v>51</v>
      </c>
      <c r="D119" t="s">
        <v>90</v>
      </c>
      <c r="E119" s="7">
        <v>0.25</v>
      </c>
    </row>
    <row r="120" spans="1:5" x14ac:dyDescent="0.35">
      <c r="A120" s="6"/>
      <c r="B120" t="s">
        <v>16</v>
      </c>
      <c r="C120" t="s">
        <v>52</v>
      </c>
      <c r="D120" t="s">
        <v>30</v>
      </c>
      <c r="E120" s="7">
        <v>0</v>
      </c>
    </row>
    <row r="121" spans="1:5" x14ac:dyDescent="0.35">
      <c r="A121" s="6"/>
      <c r="B121" t="s">
        <v>16</v>
      </c>
      <c r="C121" t="s">
        <v>54</v>
      </c>
      <c r="D121" t="s">
        <v>99</v>
      </c>
      <c r="E121" s="7">
        <v>0.6</v>
      </c>
    </row>
    <row r="122" spans="1:5" x14ac:dyDescent="0.35">
      <c r="A122" s="6"/>
      <c r="B122" t="s">
        <v>16</v>
      </c>
      <c r="C122" t="s">
        <v>56</v>
      </c>
      <c r="D122" t="s">
        <v>100</v>
      </c>
      <c r="E122" s="7">
        <v>0.64900000000000002</v>
      </c>
    </row>
    <row r="123" spans="1:5" x14ac:dyDescent="0.35">
      <c r="A123" s="6"/>
      <c r="B123" t="s">
        <v>16</v>
      </c>
      <c r="C123" t="s">
        <v>58</v>
      </c>
      <c r="D123" t="s">
        <v>30</v>
      </c>
      <c r="E123" s="7">
        <v>0</v>
      </c>
    </row>
    <row r="124" spans="1:5" x14ac:dyDescent="0.35">
      <c r="A124" s="6"/>
      <c r="B124" t="s">
        <v>16</v>
      </c>
      <c r="C124" t="s">
        <v>60</v>
      </c>
      <c r="D124" t="s">
        <v>30</v>
      </c>
      <c r="E124" s="7">
        <v>0</v>
      </c>
    </row>
    <row r="125" spans="1:5" x14ac:dyDescent="0.35">
      <c r="A125" s="6"/>
      <c r="B125" t="s">
        <v>16</v>
      </c>
      <c r="C125" t="s">
        <v>61</v>
      </c>
      <c r="D125" t="s">
        <v>101</v>
      </c>
      <c r="E125" s="7">
        <v>0.875</v>
      </c>
    </row>
    <row r="126" spans="1:5" x14ac:dyDescent="0.35">
      <c r="A126" s="6"/>
      <c r="B126" t="s">
        <v>16</v>
      </c>
      <c r="C126" t="s">
        <v>62</v>
      </c>
      <c r="D126" t="s">
        <v>30</v>
      </c>
      <c r="E126" s="7">
        <v>0</v>
      </c>
    </row>
    <row r="127" spans="1:5" x14ac:dyDescent="0.35">
      <c r="A127" s="6"/>
      <c r="B127" t="s">
        <v>16</v>
      </c>
      <c r="C127" t="s">
        <v>64</v>
      </c>
      <c r="D127" t="s">
        <v>30</v>
      </c>
      <c r="E127" s="7">
        <v>0</v>
      </c>
    </row>
    <row r="128" spans="1:5" x14ac:dyDescent="0.35">
      <c r="A128" s="9"/>
    </row>
    <row r="129" spans="1:9" x14ac:dyDescent="0.35">
      <c r="A129" s="8"/>
    </row>
    <row r="130" spans="1:9" x14ac:dyDescent="0.35">
      <c r="A130" s="9"/>
    </row>
    <row r="131" spans="1:9" x14ac:dyDescent="0.35">
      <c r="A131" s="9"/>
    </row>
    <row r="132" spans="1:9" x14ac:dyDescent="0.35">
      <c r="A132" s="9"/>
    </row>
    <row r="133" spans="1:9" x14ac:dyDescent="0.35">
      <c r="A133" s="5"/>
      <c r="B133" t="s">
        <v>12</v>
      </c>
      <c r="C133" t="s">
        <v>13</v>
      </c>
      <c r="D133" t="s">
        <v>14</v>
      </c>
      <c r="E133" t="s">
        <v>15</v>
      </c>
      <c r="F133" t="s">
        <v>49</v>
      </c>
      <c r="G133" t="s">
        <v>33</v>
      </c>
      <c r="H133" t="s">
        <v>102</v>
      </c>
      <c r="I133" s="7">
        <v>0.47</v>
      </c>
    </row>
    <row r="134" spans="1:9" x14ac:dyDescent="0.35">
      <c r="A134" s="6"/>
      <c r="B134" t="s">
        <v>16</v>
      </c>
      <c r="C134" t="s">
        <v>38</v>
      </c>
      <c r="D134" t="s">
        <v>103</v>
      </c>
      <c r="E134" s="7">
        <v>0.16700000000000001</v>
      </c>
    </row>
    <row r="135" spans="1:9" x14ac:dyDescent="0.35">
      <c r="A135" s="6"/>
      <c r="B135" t="s">
        <v>16</v>
      </c>
      <c r="C135" t="s">
        <v>35</v>
      </c>
      <c r="D135" t="s">
        <v>104</v>
      </c>
      <c r="E135" s="7">
        <v>0.27800000000000002</v>
      </c>
    </row>
    <row r="136" spans="1:9" x14ac:dyDescent="0.35">
      <c r="A136" s="6"/>
      <c r="B136" t="s">
        <v>16</v>
      </c>
      <c r="C136" t="s">
        <v>41</v>
      </c>
      <c r="D136" t="s">
        <v>105</v>
      </c>
      <c r="E136" s="7">
        <v>0.4</v>
      </c>
    </row>
    <row r="137" spans="1:9" x14ac:dyDescent="0.35">
      <c r="A137" s="6"/>
      <c r="B137" t="s">
        <v>16</v>
      </c>
      <c r="C137" t="s">
        <v>43</v>
      </c>
      <c r="D137" t="s">
        <v>106</v>
      </c>
      <c r="E137" s="7">
        <v>0.6</v>
      </c>
    </row>
    <row r="138" spans="1:9" x14ac:dyDescent="0.35">
      <c r="A138" s="6"/>
      <c r="B138" t="s">
        <v>16</v>
      </c>
      <c r="C138" t="s">
        <v>45</v>
      </c>
      <c r="D138" t="s">
        <v>30</v>
      </c>
      <c r="E138" s="7">
        <v>0</v>
      </c>
    </row>
    <row r="139" spans="1:9" x14ac:dyDescent="0.35">
      <c r="A139" s="6"/>
      <c r="B139" t="s">
        <v>16</v>
      </c>
      <c r="C139" t="s">
        <v>47</v>
      </c>
      <c r="D139" t="s">
        <v>78</v>
      </c>
      <c r="E139" s="7">
        <v>0.375</v>
      </c>
    </row>
    <row r="140" spans="1:9" x14ac:dyDescent="0.35">
      <c r="A140" s="6"/>
      <c r="B140" t="s">
        <v>16</v>
      </c>
      <c r="C140" t="s">
        <v>49</v>
      </c>
      <c r="D140" t="s">
        <v>30</v>
      </c>
      <c r="E140" s="7">
        <v>0</v>
      </c>
    </row>
    <row r="141" spans="1:9" x14ac:dyDescent="0.35">
      <c r="A141" s="6"/>
      <c r="B141" t="s">
        <v>16</v>
      </c>
      <c r="C141" t="s">
        <v>51</v>
      </c>
      <c r="D141" t="s">
        <v>53</v>
      </c>
      <c r="E141" s="7">
        <v>0.5</v>
      </c>
    </row>
    <row r="142" spans="1:9" x14ac:dyDescent="0.35">
      <c r="A142" s="6"/>
      <c r="B142" t="s">
        <v>16</v>
      </c>
      <c r="C142" t="s">
        <v>52</v>
      </c>
      <c r="D142" t="s">
        <v>30</v>
      </c>
      <c r="E142" s="7">
        <v>0</v>
      </c>
    </row>
    <row r="143" spans="1:9" x14ac:dyDescent="0.35">
      <c r="A143" s="6"/>
      <c r="B143" t="s">
        <v>16</v>
      </c>
      <c r="C143" t="s">
        <v>54</v>
      </c>
      <c r="D143" t="s">
        <v>107</v>
      </c>
      <c r="E143" s="7">
        <v>0.60499999999999998</v>
      </c>
    </row>
    <row r="144" spans="1:9" x14ac:dyDescent="0.35">
      <c r="A144" s="6"/>
      <c r="B144" t="s">
        <v>16</v>
      </c>
      <c r="C144" t="s">
        <v>56</v>
      </c>
      <c r="D144" t="s">
        <v>108</v>
      </c>
      <c r="E144" s="7">
        <v>0</v>
      </c>
    </row>
    <row r="145" spans="1:9" x14ac:dyDescent="0.35">
      <c r="A145" s="6"/>
      <c r="B145" t="s">
        <v>16</v>
      </c>
      <c r="C145" t="s">
        <v>58</v>
      </c>
      <c r="D145" t="s">
        <v>30</v>
      </c>
      <c r="E145" s="7">
        <v>0</v>
      </c>
    </row>
    <row r="146" spans="1:9" x14ac:dyDescent="0.35">
      <c r="A146" s="6"/>
      <c r="B146" t="s">
        <v>16</v>
      </c>
      <c r="C146" t="s">
        <v>60</v>
      </c>
      <c r="D146" t="s">
        <v>30</v>
      </c>
      <c r="E146" s="7">
        <v>0</v>
      </c>
    </row>
    <row r="147" spans="1:9" x14ac:dyDescent="0.35">
      <c r="A147" s="6"/>
      <c r="B147" t="s">
        <v>16</v>
      </c>
      <c r="C147" t="s">
        <v>61</v>
      </c>
      <c r="D147" t="s">
        <v>59</v>
      </c>
      <c r="E147" s="7">
        <v>1</v>
      </c>
    </row>
    <row r="148" spans="1:9" x14ac:dyDescent="0.35">
      <c r="A148" s="6"/>
      <c r="B148" t="s">
        <v>16</v>
      </c>
      <c r="C148" t="s">
        <v>62</v>
      </c>
      <c r="D148" t="s">
        <v>83</v>
      </c>
      <c r="E148" s="7">
        <v>0.66700000000000004</v>
      </c>
    </row>
    <row r="149" spans="1:9" x14ac:dyDescent="0.35">
      <c r="A149" s="6"/>
      <c r="B149" t="s">
        <v>16</v>
      </c>
      <c r="C149" t="s">
        <v>64</v>
      </c>
      <c r="D149" t="s">
        <v>30</v>
      </c>
      <c r="E149" s="7">
        <v>0</v>
      </c>
    </row>
    <row r="150" spans="1:9" x14ac:dyDescent="0.35">
      <c r="A150" s="9"/>
    </row>
    <row r="151" spans="1:9" x14ac:dyDescent="0.35">
      <c r="A151" s="8"/>
    </row>
    <row r="152" spans="1:9" x14ac:dyDescent="0.35">
      <c r="A152" s="9"/>
    </row>
    <row r="153" spans="1:9" x14ac:dyDescent="0.35">
      <c r="A153" s="9"/>
    </row>
    <row r="154" spans="1:9" x14ac:dyDescent="0.35">
      <c r="A154" s="9"/>
    </row>
    <row r="155" spans="1:9" x14ac:dyDescent="0.35">
      <c r="A155" s="5"/>
      <c r="B155" t="s">
        <v>12</v>
      </c>
      <c r="C155" t="s">
        <v>13</v>
      </c>
      <c r="D155" t="s">
        <v>14</v>
      </c>
      <c r="E155" t="s">
        <v>15</v>
      </c>
      <c r="F155" t="s">
        <v>51</v>
      </c>
      <c r="G155" t="s">
        <v>33</v>
      </c>
      <c r="H155" t="s">
        <v>109</v>
      </c>
      <c r="I155" s="7">
        <v>0.437</v>
      </c>
    </row>
    <row r="156" spans="1:9" x14ac:dyDescent="0.35">
      <c r="A156" s="6"/>
      <c r="B156" t="s">
        <v>16</v>
      </c>
      <c r="C156" t="s">
        <v>38</v>
      </c>
      <c r="D156" t="s">
        <v>110</v>
      </c>
      <c r="E156" s="7">
        <v>0.19500000000000001</v>
      </c>
    </row>
    <row r="157" spans="1:9" x14ac:dyDescent="0.35">
      <c r="A157" s="6"/>
      <c r="B157" t="s">
        <v>16</v>
      </c>
      <c r="C157" t="s">
        <v>35</v>
      </c>
      <c r="D157" t="s">
        <v>77</v>
      </c>
      <c r="E157" s="7">
        <v>0.55600000000000005</v>
      </c>
    </row>
    <row r="158" spans="1:9" x14ac:dyDescent="0.35">
      <c r="A158" s="6"/>
      <c r="B158" t="s">
        <v>16</v>
      </c>
      <c r="C158" t="s">
        <v>41</v>
      </c>
      <c r="D158" t="s">
        <v>111</v>
      </c>
      <c r="E158" s="7">
        <v>0</v>
      </c>
    </row>
    <row r="159" spans="1:9" x14ac:dyDescent="0.35">
      <c r="A159" s="6"/>
      <c r="B159" t="s">
        <v>16</v>
      </c>
      <c r="C159" t="s">
        <v>43</v>
      </c>
      <c r="D159" t="s">
        <v>112</v>
      </c>
      <c r="E159" s="7">
        <v>0.7</v>
      </c>
    </row>
    <row r="160" spans="1:9" x14ac:dyDescent="0.35">
      <c r="A160" s="6"/>
      <c r="B160" t="s">
        <v>16</v>
      </c>
      <c r="C160" t="s">
        <v>45</v>
      </c>
      <c r="D160" t="s">
        <v>113</v>
      </c>
      <c r="E160" s="7">
        <v>0.75</v>
      </c>
    </row>
    <row r="161" spans="1:5" x14ac:dyDescent="0.35">
      <c r="A161" s="6"/>
      <c r="B161" t="s">
        <v>16</v>
      </c>
      <c r="C161" t="s">
        <v>47</v>
      </c>
      <c r="D161" t="s">
        <v>113</v>
      </c>
      <c r="E161" s="7">
        <v>0.75</v>
      </c>
    </row>
    <row r="162" spans="1:5" x14ac:dyDescent="0.35">
      <c r="A162" s="6"/>
      <c r="B162" t="s">
        <v>16</v>
      </c>
      <c r="C162" t="s">
        <v>49</v>
      </c>
      <c r="D162" t="s">
        <v>53</v>
      </c>
      <c r="E162" s="7">
        <v>0.5</v>
      </c>
    </row>
    <row r="163" spans="1:5" x14ac:dyDescent="0.35">
      <c r="A163" s="6"/>
      <c r="B163" t="s">
        <v>16</v>
      </c>
      <c r="C163" t="s">
        <v>51</v>
      </c>
      <c r="D163" t="s">
        <v>30</v>
      </c>
      <c r="E163" s="7">
        <v>0</v>
      </c>
    </row>
    <row r="164" spans="1:5" x14ac:dyDescent="0.35">
      <c r="A164" s="6"/>
      <c r="B164" t="s">
        <v>16</v>
      </c>
      <c r="C164" t="s">
        <v>52</v>
      </c>
      <c r="D164" t="s">
        <v>114</v>
      </c>
      <c r="E164" s="7">
        <v>0.52600000000000002</v>
      </c>
    </row>
    <row r="165" spans="1:5" x14ac:dyDescent="0.35">
      <c r="A165" s="6"/>
      <c r="B165" t="s">
        <v>16</v>
      </c>
      <c r="C165" t="s">
        <v>54</v>
      </c>
      <c r="D165" t="s">
        <v>30</v>
      </c>
      <c r="E165" s="7">
        <v>0</v>
      </c>
    </row>
    <row r="166" spans="1:5" x14ac:dyDescent="0.35">
      <c r="A166" s="6"/>
      <c r="B166" t="s">
        <v>16</v>
      </c>
      <c r="C166" t="s">
        <v>56</v>
      </c>
      <c r="D166" t="s">
        <v>59</v>
      </c>
      <c r="E166" s="7">
        <v>1</v>
      </c>
    </row>
    <row r="167" spans="1:5" x14ac:dyDescent="0.35">
      <c r="A167" s="6"/>
      <c r="B167" t="s">
        <v>16</v>
      </c>
      <c r="C167" t="s">
        <v>58</v>
      </c>
      <c r="D167" t="s">
        <v>31</v>
      </c>
      <c r="E167" s="7">
        <v>0</v>
      </c>
    </row>
    <row r="168" spans="1:5" x14ac:dyDescent="0.35">
      <c r="A168" s="6"/>
      <c r="B168" t="s">
        <v>16</v>
      </c>
      <c r="C168" t="s">
        <v>60</v>
      </c>
      <c r="D168" t="s">
        <v>59</v>
      </c>
      <c r="E168" s="7">
        <v>1</v>
      </c>
    </row>
    <row r="169" spans="1:5" x14ac:dyDescent="0.35">
      <c r="A169" s="6"/>
      <c r="B169" t="s">
        <v>16</v>
      </c>
      <c r="C169" t="s">
        <v>61</v>
      </c>
      <c r="D169" t="s">
        <v>30</v>
      </c>
      <c r="E169" s="7">
        <v>0</v>
      </c>
    </row>
    <row r="170" spans="1:5" x14ac:dyDescent="0.35">
      <c r="A170" s="6"/>
      <c r="B170" t="s">
        <v>16</v>
      </c>
      <c r="C170" t="s">
        <v>62</v>
      </c>
      <c r="D170" t="s">
        <v>30</v>
      </c>
      <c r="E170" s="7">
        <v>0</v>
      </c>
    </row>
    <row r="171" spans="1:5" x14ac:dyDescent="0.35">
      <c r="A171" s="6"/>
      <c r="B171" t="s">
        <v>16</v>
      </c>
      <c r="C171" t="s">
        <v>64</v>
      </c>
      <c r="D171" t="s">
        <v>30</v>
      </c>
      <c r="E171" s="7">
        <v>0</v>
      </c>
    </row>
    <row r="172" spans="1:5" x14ac:dyDescent="0.35">
      <c r="A172" s="9"/>
    </row>
    <row r="173" spans="1:5" x14ac:dyDescent="0.35">
      <c r="A173" s="8"/>
    </row>
    <row r="174" spans="1:5" x14ac:dyDescent="0.35">
      <c r="A174" s="9"/>
    </row>
    <row r="175" spans="1:5" x14ac:dyDescent="0.35">
      <c r="A175" s="9"/>
    </row>
    <row r="176" spans="1:5" x14ac:dyDescent="0.35">
      <c r="A176" s="9"/>
    </row>
    <row r="177" spans="1:12" x14ac:dyDescent="0.35">
      <c r="A177" s="5"/>
      <c r="B177" t="s">
        <v>12</v>
      </c>
      <c r="C177" t="s">
        <v>13</v>
      </c>
      <c r="D177" t="s">
        <v>14</v>
      </c>
      <c r="E177" t="s">
        <v>15</v>
      </c>
      <c r="F177" t="s">
        <v>52</v>
      </c>
      <c r="G177" t="s">
        <v>33</v>
      </c>
      <c r="H177" t="s">
        <v>115</v>
      </c>
      <c r="I177" s="7">
        <v>0.35899999999999999</v>
      </c>
    </row>
    <row r="178" spans="1:12" x14ac:dyDescent="0.35">
      <c r="A178" s="6"/>
      <c r="B178" t="s">
        <v>16</v>
      </c>
      <c r="C178" t="s">
        <v>38</v>
      </c>
      <c r="D178" t="s">
        <v>116</v>
      </c>
      <c r="E178" s="7">
        <v>9.6000000000000002E-2</v>
      </c>
      <c r="F178" s="7">
        <v>0.14299999999999999</v>
      </c>
      <c r="G178" s="7">
        <v>0.5</v>
      </c>
      <c r="H178" s="7">
        <v>0</v>
      </c>
      <c r="I178" s="7">
        <v>0</v>
      </c>
      <c r="J178" s="7">
        <v>0</v>
      </c>
      <c r="K178" s="7">
        <v>1</v>
      </c>
      <c r="L178" s="7">
        <v>0</v>
      </c>
    </row>
    <row r="179" spans="1:12" x14ac:dyDescent="0.35">
      <c r="A179" s="6"/>
      <c r="B179" t="s">
        <v>16</v>
      </c>
      <c r="C179" t="s">
        <v>35</v>
      </c>
      <c r="D179" t="s">
        <v>53</v>
      </c>
      <c r="E179" s="7">
        <v>0.5</v>
      </c>
      <c r="F179" s="7">
        <v>0.40699999999999997</v>
      </c>
      <c r="G179" s="7">
        <v>7.0999999999999994E-2</v>
      </c>
      <c r="H179" s="7">
        <v>0</v>
      </c>
      <c r="I179" s="7">
        <v>0</v>
      </c>
      <c r="J179" s="7">
        <v>0</v>
      </c>
      <c r="K179" s="7">
        <v>7.0000000000000007E-2</v>
      </c>
      <c r="L179" s="7">
        <v>0</v>
      </c>
    </row>
    <row r="180" spans="1:12" x14ac:dyDescent="0.35">
      <c r="A180" s="6"/>
      <c r="B180" t="s">
        <v>16</v>
      </c>
      <c r="C180" t="s">
        <v>41</v>
      </c>
      <c r="D180" t="s">
        <v>111</v>
      </c>
      <c r="E180" s="7">
        <v>0</v>
      </c>
      <c r="F180" s="7">
        <v>0.308</v>
      </c>
      <c r="G180" s="7">
        <v>0.29199999999999998</v>
      </c>
      <c r="H180" s="7">
        <v>0</v>
      </c>
      <c r="I180" s="7">
        <v>0</v>
      </c>
      <c r="J180" s="7">
        <v>0.16400000000000001</v>
      </c>
      <c r="K180" s="7">
        <v>0.5</v>
      </c>
      <c r="L180" s="7">
        <v>0</v>
      </c>
    </row>
    <row r="181" spans="1:12" x14ac:dyDescent="0.35">
      <c r="A181" s="6"/>
      <c r="B181" t="s">
        <v>16</v>
      </c>
      <c r="C181" t="s">
        <v>43</v>
      </c>
      <c r="D181" t="s">
        <v>91</v>
      </c>
      <c r="E181" s="7">
        <v>0.33300000000000002</v>
      </c>
      <c r="F181" s="7">
        <v>0</v>
      </c>
      <c r="G181" s="7">
        <v>0</v>
      </c>
      <c r="H181" s="7">
        <v>0.316</v>
      </c>
      <c r="I181" s="7">
        <v>0.19700000000000001</v>
      </c>
      <c r="J181" s="7">
        <v>0</v>
      </c>
      <c r="K181" s="7">
        <v>0</v>
      </c>
      <c r="L181" s="7">
        <v>0</v>
      </c>
    </row>
    <row r="182" spans="1:12" x14ac:dyDescent="0.35">
      <c r="A182" s="6"/>
      <c r="B182" t="s">
        <v>16</v>
      </c>
      <c r="C182" t="s">
        <v>45</v>
      </c>
      <c r="D182" t="s">
        <v>83</v>
      </c>
      <c r="E182" s="7">
        <v>0.66700000000000004</v>
      </c>
      <c r="F182" s="7">
        <v>0</v>
      </c>
      <c r="G182" s="7">
        <v>0</v>
      </c>
      <c r="H182" s="7">
        <v>0.33100000000000002</v>
      </c>
      <c r="I182" s="7">
        <v>0.2</v>
      </c>
      <c r="J182" s="7">
        <v>0</v>
      </c>
      <c r="K182" s="7">
        <v>0</v>
      </c>
      <c r="L182" s="7">
        <v>0</v>
      </c>
    </row>
    <row r="183" spans="1:12" x14ac:dyDescent="0.35">
      <c r="A183" s="6"/>
      <c r="B183" t="s">
        <v>16</v>
      </c>
      <c r="C183" t="s">
        <v>47</v>
      </c>
      <c r="D183" t="s">
        <v>30</v>
      </c>
      <c r="E183" s="7">
        <v>0</v>
      </c>
      <c r="F183" s="7">
        <v>0.4</v>
      </c>
      <c r="G183" s="7">
        <v>0.35099999999999998</v>
      </c>
      <c r="H183" s="7">
        <v>0</v>
      </c>
      <c r="I183" s="7">
        <v>0</v>
      </c>
      <c r="J183" s="7">
        <v>0.125</v>
      </c>
      <c r="K183" s="7">
        <v>0</v>
      </c>
      <c r="L183" s="7">
        <v>0</v>
      </c>
    </row>
    <row r="184" spans="1:12" x14ac:dyDescent="0.35">
      <c r="A184" s="6"/>
      <c r="B184" t="s">
        <v>16</v>
      </c>
      <c r="C184" t="s">
        <v>49</v>
      </c>
      <c r="D184" t="s">
        <v>30</v>
      </c>
      <c r="E184" s="7">
        <v>0</v>
      </c>
      <c r="F184" s="7">
        <v>0.39500000000000002</v>
      </c>
      <c r="G184" s="7">
        <v>1</v>
      </c>
      <c r="H184" s="7">
        <v>0</v>
      </c>
      <c r="I184" s="7">
        <v>0</v>
      </c>
      <c r="J184" s="7">
        <v>0</v>
      </c>
      <c r="K184" s="7">
        <v>0.33300000000000002</v>
      </c>
      <c r="L184" s="7">
        <v>0</v>
      </c>
    </row>
    <row r="185" spans="1:12" x14ac:dyDescent="0.35">
      <c r="A185" s="6"/>
      <c r="B185" t="s">
        <v>16</v>
      </c>
      <c r="C185" t="s">
        <v>51</v>
      </c>
      <c r="D185" t="s">
        <v>117</v>
      </c>
      <c r="E185" s="7">
        <v>0.47399999999999998</v>
      </c>
      <c r="F185" s="7">
        <v>0</v>
      </c>
      <c r="G185" s="7">
        <v>0</v>
      </c>
      <c r="H185" s="7">
        <v>1</v>
      </c>
      <c r="I185" s="7">
        <v>0</v>
      </c>
      <c r="J185" s="7">
        <v>0</v>
      </c>
      <c r="K185" s="7">
        <v>0</v>
      </c>
      <c r="L185" s="7">
        <v>0</v>
      </c>
    </row>
    <row r="186" spans="1:12" x14ac:dyDescent="0.35">
      <c r="A186" s="6"/>
      <c r="B186" t="s">
        <v>16</v>
      </c>
      <c r="C186" t="s">
        <v>52</v>
      </c>
      <c r="D186" t="s">
        <v>30</v>
      </c>
      <c r="E186" s="7">
        <v>0</v>
      </c>
      <c r="F186" s="7">
        <v>0</v>
      </c>
      <c r="G186" s="7">
        <v>0</v>
      </c>
      <c r="H186" s="7">
        <v>0</v>
      </c>
      <c r="I186" s="7">
        <v>0</v>
      </c>
      <c r="J186" s="7">
        <v>0</v>
      </c>
      <c r="K186" s="7">
        <v>0</v>
      </c>
      <c r="L186" s="7">
        <v>0</v>
      </c>
    </row>
    <row r="187" spans="1:12" x14ac:dyDescent="0.35">
      <c r="A187" s="6"/>
      <c r="B187" t="s">
        <v>16</v>
      </c>
      <c r="C187" t="s">
        <v>54</v>
      </c>
      <c r="D187" t="s">
        <v>59</v>
      </c>
      <c r="E187" s="7">
        <v>1</v>
      </c>
      <c r="F187" s="7">
        <v>0</v>
      </c>
      <c r="G187" s="7">
        <v>0.66700000000000004</v>
      </c>
      <c r="H187" s="7">
        <v>0</v>
      </c>
      <c r="I187" s="7">
        <v>0</v>
      </c>
      <c r="J187" s="7">
        <v>0</v>
      </c>
      <c r="K187" s="7">
        <v>0.16700000000000001</v>
      </c>
      <c r="L187" s="7">
        <v>0</v>
      </c>
    </row>
    <row r="188" spans="1:12" x14ac:dyDescent="0.35">
      <c r="A188" s="6"/>
      <c r="B188" t="s">
        <v>16</v>
      </c>
      <c r="C188" t="s">
        <v>56</v>
      </c>
      <c r="D188" t="s">
        <v>30</v>
      </c>
      <c r="E188" s="7">
        <v>0</v>
      </c>
      <c r="F188" s="7">
        <v>0.33300000000000002</v>
      </c>
      <c r="G188" s="7">
        <v>0</v>
      </c>
      <c r="H188" s="7">
        <v>0</v>
      </c>
      <c r="I188" s="7">
        <v>0</v>
      </c>
      <c r="J188" s="7">
        <v>0</v>
      </c>
      <c r="K188" s="7">
        <v>0</v>
      </c>
      <c r="L188" s="7">
        <v>0</v>
      </c>
    </row>
    <row r="189" spans="1:12" x14ac:dyDescent="0.35">
      <c r="A189" s="6"/>
      <c r="B189" t="s">
        <v>16</v>
      </c>
      <c r="C189" t="s">
        <v>58</v>
      </c>
      <c r="D189" t="s">
        <v>30</v>
      </c>
      <c r="E189" s="7">
        <v>0</v>
      </c>
      <c r="F189" s="7">
        <v>0</v>
      </c>
      <c r="G189" s="7">
        <v>0</v>
      </c>
      <c r="H189" s="7">
        <v>0</v>
      </c>
      <c r="I189" s="7">
        <v>0.27300000000000002</v>
      </c>
      <c r="J189" s="7">
        <v>0</v>
      </c>
      <c r="K189" s="7">
        <v>0</v>
      </c>
      <c r="L189" s="7">
        <v>0</v>
      </c>
    </row>
    <row r="190" spans="1:12" x14ac:dyDescent="0.35">
      <c r="A190" s="6"/>
      <c r="B190" t="s">
        <v>16</v>
      </c>
      <c r="C190" t="s">
        <v>60</v>
      </c>
      <c r="D190" t="s">
        <v>59</v>
      </c>
      <c r="E190" s="7">
        <v>1</v>
      </c>
      <c r="F190" s="7">
        <v>0</v>
      </c>
      <c r="G190" s="7">
        <v>0</v>
      </c>
      <c r="H190" s="7">
        <v>0.72699999999999998</v>
      </c>
      <c r="I190" s="7">
        <v>0</v>
      </c>
      <c r="J190" s="7">
        <v>0</v>
      </c>
      <c r="K190" s="7">
        <v>0</v>
      </c>
      <c r="L190" s="7">
        <v>0</v>
      </c>
    </row>
    <row r="191" spans="1:12" x14ac:dyDescent="0.35">
      <c r="A191" s="6"/>
      <c r="B191" t="s">
        <v>16</v>
      </c>
      <c r="C191" t="s">
        <v>61</v>
      </c>
      <c r="D191" t="s">
        <v>30</v>
      </c>
      <c r="E191" s="7">
        <v>0</v>
      </c>
      <c r="F191" s="7">
        <v>1</v>
      </c>
      <c r="G191" s="7">
        <v>1</v>
      </c>
      <c r="H191" s="7">
        <v>0</v>
      </c>
      <c r="I191" s="7">
        <v>0</v>
      </c>
      <c r="J191" s="7">
        <v>0</v>
      </c>
      <c r="K191" s="7">
        <v>0</v>
      </c>
      <c r="L191" s="7">
        <v>0</v>
      </c>
    </row>
    <row r="192" spans="1:12" x14ac:dyDescent="0.35">
      <c r="A192" s="6"/>
      <c r="B192" t="s">
        <v>16</v>
      </c>
      <c r="C192" t="s">
        <v>62</v>
      </c>
      <c r="D192" t="s">
        <v>30</v>
      </c>
      <c r="E192" s="7">
        <v>0</v>
      </c>
      <c r="F192" s="7">
        <v>0.83299999999999996</v>
      </c>
      <c r="G192" s="7">
        <v>0</v>
      </c>
      <c r="H192" s="7">
        <v>0</v>
      </c>
      <c r="I192" s="7">
        <v>0</v>
      </c>
      <c r="J192" s="7">
        <v>0</v>
      </c>
      <c r="K192" s="7">
        <v>0</v>
      </c>
      <c r="L192" s="7">
        <v>0</v>
      </c>
    </row>
    <row r="193" spans="1:12" x14ac:dyDescent="0.35">
      <c r="A193" s="6"/>
      <c r="B193" t="s">
        <v>16</v>
      </c>
      <c r="C193" t="s">
        <v>64</v>
      </c>
      <c r="D193" t="s">
        <v>30</v>
      </c>
      <c r="E193" s="7">
        <v>0</v>
      </c>
      <c r="F193" s="7">
        <v>0</v>
      </c>
      <c r="G193" s="7">
        <v>0</v>
      </c>
      <c r="H193" s="7">
        <v>0</v>
      </c>
      <c r="I193" s="7">
        <v>0</v>
      </c>
      <c r="J193" s="7">
        <v>0</v>
      </c>
      <c r="K193" s="7">
        <v>0</v>
      </c>
      <c r="L193" s="7">
        <v>0</v>
      </c>
    </row>
    <row r="194" spans="1:12" x14ac:dyDescent="0.35">
      <c r="A194" s="9"/>
    </row>
    <row r="195" spans="1:12" x14ac:dyDescent="0.35">
      <c r="A195" s="8"/>
    </row>
    <row r="196" spans="1:12" x14ac:dyDescent="0.35">
      <c r="A196" s="9"/>
    </row>
    <row r="197" spans="1:12" x14ac:dyDescent="0.35">
      <c r="A197" s="9"/>
    </row>
    <row r="198" spans="1:12" x14ac:dyDescent="0.35">
      <c r="A198" s="9"/>
    </row>
    <row r="199" spans="1:12" x14ac:dyDescent="0.35">
      <c r="A199" s="5"/>
      <c r="B199" t="s">
        <v>12</v>
      </c>
      <c r="C199" t="s">
        <v>13</v>
      </c>
      <c r="D199" t="s">
        <v>14</v>
      </c>
      <c r="E199" t="s">
        <v>15</v>
      </c>
      <c r="F199" t="s">
        <v>54</v>
      </c>
      <c r="G199" t="s">
        <v>33</v>
      </c>
      <c r="H199" t="s">
        <v>118</v>
      </c>
      <c r="I199" s="7">
        <v>0.39200000000000002</v>
      </c>
    </row>
    <row r="200" spans="1:12" x14ac:dyDescent="0.35">
      <c r="A200" s="6"/>
      <c r="B200" t="s">
        <v>16</v>
      </c>
      <c r="C200" t="s">
        <v>38</v>
      </c>
      <c r="D200" t="s">
        <v>119</v>
      </c>
      <c r="E200" s="7">
        <v>0.14299999999999999</v>
      </c>
    </row>
    <row r="201" spans="1:12" x14ac:dyDescent="0.35">
      <c r="A201" s="6"/>
      <c r="B201" t="s">
        <v>16</v>
      </c>
      <c r="C201" t="s">
        <v>35</v>
      </c>
      <c r="D201" t="s">
        <v>120</v>
      </c>
      <c r="E201" s="7">
        <v>0.40699999999999997</v>
      </c>
    </row>
    <row r="202" spans="1:12" x14ac:dyDescent="0.35">
      <c r="A202" s="6"/>
      <c r="B202" t="s">
        <v>16</v>
      </c>
      <c r="C202" t="s">
        <v>41</v>
      </c>
      <c r="D202" t="s">
        <v>121</v>
      </c>
      <c r="E202" s="7">
        <v>0.308</v>
      </c>
    </row>
    <row r="203" spans="1:12" x14ac:dyDescent="0.35">
      <c r="A203" s="6"/>
      <c r="B203" t="s">
        <v>16</v>
      </c>
      <c r="C203" t="s">
        <v>43</v>
      </c>
      <c r="D203" t="s">
        <v>111</v>
      </c>
      <c r="E203" s="7">
        <v>0</v>
      </c>
    </row>
    <row r="204" spans="1:12" x14ac:dyDescent="0.35">
      <c r="A204" s="6"/>
      <c r="B204" t="s">
        <v>16</v>
      </c>
      <c r="C204" t="s">
        <v>45</v>
      </c>
      <c r="D204" t="s">
        <v>31</v>
      </c>
      <c r="E204" s="7">
        <v>0</v>
      </c>
    </row>
    <row r="205" spans="1:12" x14ac:dyDescent="0.35">
      <c r="A205" s="6"/>
      <c r="B205" t="s">
        <v>16</v>
      </c>
      <c r="C205" t="s">
        <v>47</v>
      </c>
      <c r="D205" t="s">
        <v>122</v>
      </c>
      <c r="E205" s="7">
        <v>0.4</v>
      </c>
    </row>
    <row r="206" spans="1:12" x14ac:dyDescent="0.35">
      <c r="A206" s="6"/>
      <c r="B206" t="s">
        <v>16</v>
      </c>
      <c r="C206" t="s">
        <v>49</v>
      </c>
      <c r="D206" t="s">
        <v>123</v>
      </c>
      <c r="E206" s="7">
        <v>0.39500000000000002</v>
      </c>
    </row>
    <row r="207" spans="1:12" x14ac:dyDescent="0.35">
      <c r="A207" s="6"/>
      <c r="B207" t="s">
        <v>16</v>
      </c>
      <c r="C207" t="s">
        <v>51</v>
      </c>
      <c r="D207" t="s">
        <v>30</v>
      </c>
      <c r="E207" s="7">
        <v>0</v>
      </c>
    </row>
    <row r="208" spans="1:12" x14ac:dyDescent="0.35">
      <c r="A208" s="6"/>
      <c r="B208" t="s">
        <v>16</v>
      </c>
      <c r="C208" t="s">
        <v>52</v>
      </c>
      <c r="D208" t="s">
        <v>31</v>
      </c>
      <c r="E208" s="7">
        <v>0</v>
      </c>
    </row>
    <row r="209" spans="1:9" x14ac:dyDescent="0.35">
      <c r="A209" s="6"/>
      <c r="B209" t="s">
        <v>16</v>
      </c>
      <c r="C209" t="s">
        <v>54</v>
      </c>
      <c r="D209" t="s">
        <v>30</v>
      </c>
      <c r="E209" s="7">
        <v>0</v>
      </c>
    </row>
    <row r="210" spans="1:9" x14ac:dyDescent="0.35">
      <c r="A210" s="6"/>
      <c r="B210" t="s">
        <v>16</v>
      </c>
      <c r="C210" t="s">
        <v>56</v>
      </c>
      <c r="D210" t="s">
        <v>91</v>
      </c>
      <c r="E210" s="7">
        <v>0.33300000000000002</v>
      </c>
    </row>
    <row r="211" spans="1:9" x14ac:dyDescent="0.35">
      <c r="A211" s="6"/>
      <c r="B211" t="s">
        <v>16</v>
      </c>
      <c r="C211" t="s">
        <v>58</v>
      </c>
      <c r="D211" t="s">
        <v>30</v>
      </c>
      <c r="E211" s="7">
        <v>0</v>
      </c>
    </row>
    <row r="212" spans="1:9" x14ac:dyDescent="0.35">
      <c r="A212" s="6"/>
      <c r="B212" t="s">
        <v>16</v>
      </c>
      <c r="C212" t="s">
        <v>60</v>
      </c>
      <c r="D212" t="s">
        <v>30</v>
      </c>
      <c r="E212" s="7">
        <v>0</v>
      </c>
    </row>
    <row r="213" spans="1:9" x14ac:dyDescent="0.35">
      <c r="A213" s="6"/>
      <c r="B213" t="s">
        <v>16</v>
      </c>
      <c r="C213" t="s">
        <v>61</v>
      </c>
      <c r="D213" t="s">
        <v>59</v>
      </c>
      <c r="E213" s="7">
        <v>1</v>
      </c>
    </row>
    <row r="214" spans="1:9" x14ac:dyDescent="0.35">
      <c r="A214" s="6"/>
      <c r="B214" t="s">
        <v>16</v>
      </c>
      <c r="C214" t="s">
        <v>62</v>
      </c>
      <c r="D214" t="s">
        <v>23</v>
      </c>
      <c r="E214" s="7">
        <v>0.83299999999999996</v>
      </c>
    </row>
    <row r="215" spans="1:9" x14ac:dyDescent="0.35">
      <c r="A215" s="6"/>
      <c r="B215" t="s">
        <v>16</v>
      </c>
      <c r="C215" t="s">
        <v>64</v>
      </c>
      <c r="D215" t="s">
        <v>30</v>
      </c>
      <c r="E215" s="7">
        <v>0</v>
      </c>
    </row>
    <row r="216" spans="1:9" x14ac:dyDescent="0.35">
      <c r="A216" s="9"/>
    </row>
    <row r="217" spans="1:9" x14ac:dyDescent="0.35">
      <c r="A217" s="8"/>
    </row>
    <row r="218" spans="1:9" x14ac:dyDescent="0.35">
      <c r="A218" s="9"/>
    </row>
    <row r="219" spans="1:9" x14ac:dyDescent="0.35">
      <c r="A219" s="9"/>
    </row>
    <row r="220" spans="1:9" x14ac:dyDescent="0.35">
      <c r="A220" s="9"/>
    </row>
    <row r="221" spans="1:9" x14ac:dyDescent="0.35">
      <c r="A221" s="5"/>
      <c r="B221" t="s">
        <v>12</v>
      </c>
      <c r="C221" t="s">
        <v>13</v>
      </c>
      <c r="D221" t="s">
        <v>14</v>
      </c>
      <c r="E221" t="s">
        <v>15</v>
      </c>
      <c r="F221" t="s">
        <v>56</v>
      </c>
      <c r="G221" t="s">
        <v>33</v>
      </c>
      <c r="H221" t="s">
        <v>124</v>
      </c>
      <c r="I221" s="7">
        <v>0.35099999999999998</v>
      </c>
    </row>
    <row r="222" spans="1:9" x14ac:dyDescent="0.35">
      <c r="A222" s="6"/>
      <c r="B222" t="s">
        <v>16</v>
      </c>
      <c r="C222" t="s">
        <v>38</v>
      </c>
      <c r="D222" t="s">
        <v>27</v>
      </c>
      <c r="E222" s="7">
        <v>0.5</v>
      </c>
    </row>
    <row r="223" spans="1:9" x14ac:dyDescent="0.35">
      <c r="A223" s="6"/>
      <c r="B223" t="s">
        <v>16</v>
      </c>
      <c r="C223" t="s">
        <v>35</v>
      </c>
      <c r="D223" t="s">
        <v>125</v>
      </c>
      <c r="E223" s="7">
        <v>7.0999999999999994E-2</v>
      </c>
    </row>
    <row r="224" spans="1:9" x14ac:dyDescent="0.35">
      <c r="A224" s="6"/>
      <c r="B224" t="s">
        <v>16</v>
      </c>
      <c r="C224" t="s">
        <v>41</v>
      </c>
      <c r="D224" t="s">
        <v>126</v>
      </c>
      <c r="E224" s="7">
        <v>0.29199999999999998</v>
      </c>
    </row>
    <row r="225" spans="1:5" x14ac:dyDescent="0.35">
      <c r="A225" s="6"/>
      <c r="B225" t="s">
        <v>16</v>
      </c>
      <c r="C225" t="s">
        <v>43</v>
      </c>
      <c r="D225" t="s">
        <v>30</v>
      </c>
      <c r="E225" s="7">
        <v>0</v>
      </c>
    </row>
    <row r="226" spans="1:5" x14ac:dyDescent="0.35">
      <c r="A226" s="6"/>
      <c r="B226" t="s">
        <v>16</v>
      </c>
      <c r="C226" t="s">
        <v>45</v>
      </c>
      <c r="D226" t="s">
        <v>30</v>
      </c>
      <c r="E226" s="7">
        <v>0</v>
      </c>
    </row>
    <row r="227" spans="1:5" x14ac:dyDescent="0.35">
      <c r="A227" s="6"/>
      <c r="B227" t="s">
        <v>16</v>
      </c>
      <c r="C227" t="s">
        <v>47</v>
      </c>
      <c r="D227" t="s">
        <v>127</v>
      </c>
      <c r="E227" s="7">
        <v>0.35099999999999998</v>
      </c>
    </row>
    <row r="228" spans="1:5" x14ac:dyDescent="0.35">
      <c r="A228" s="6"/>
      <c r="B228" t="s">
        <v>16</v>
      </c>
      <c r="C228" t="s">
        <v>49</v>
      </c>
      <c r="D228" t="s">
        <v>128</v>
      </c>
      <c r="E228" s="7">
        <v>1</v>
      </c>
    </row>
    <row r="229" spans="1:5" x14ac:dyDescent="0.35">
      <c r="A229" s="6"/>
      <c r="B229" t="s">
        <v>16</v>
      </c>
      <c r="C229" t="s">
        <v>51</v>
      </c>
      <c r="D229" t="s">
        <v>31</v>
      </c>
      <c r="E229" s="7">
        <v>0</v>
      </c>
    </row>
    <row r="230" spans="1:5" x14ac:dyDescent="0.35">
      <c r="A230" s="6"/>
      <c r="B230" t="s">
        <v>16</v>
      </c>
      <c r="C230" t="s">
        <v>52</v>
      </c>
      <c r="D230" t="s">
        <v>30</v>
      </c>
      <c r="E230" s="7">
        <v>0</v>
      </c>
    </row>
    <row r="231" spans="1:5" x14ac:dyDescent="0.35">
      <c r="A231" s="6"/>
      <c r="B231" t="s">
        <v>16</v>
      </c>
      <c r="C231" t="s">
        <v>54</v>
      </c>
      <c r="D231" t="s">
        <v>83</v>
      </c>
      <c r="E231" s="7">
        <v>0.66700000000000004</v>
      </c>
    </row>
    <row r="232" spans="1:5" x14ac:dyDescent="0.35">
      <c r="A232" s="6"/>
      <c r="B232" t="s">
        <v>16</v>
      </c>
      <c r="C232" t="s">
        <v>56</v>
      </c>
      <c r="D232" t="s">
        <v>30</v>
      </c>
      <c r="E232" s="7">
        <v>0</v>
      </c>
    </row>
    <row r="233" spans="1:5" x14ac:dyDescent="0.35">
      <c r="A233" s="6"/>
      <c r="B233" t="s">
        <v>16</v>
      </c>
      <c r="C233" t="s">
        <v>58</v>
      </c>
      <c r="D233" t="s">
        <v>30</v>
      </c>
      <c r="E233" s="7">
        <v>0</v>
      </c>
    </row>
    <row r="234" spans="1:5" x14ac:dyDescent="0.35">
      <c r="A234" s="6"/>
      <c r="B234" t="s">
        <v>16</v>
      </c>
      <c r="C234" t="s">
        <v>60</v>
      </c>
      <c r="D234" t="s">
        <v>30</v>
      </c>
      <c r="E234" s="7">
        <v>0</v>
      </c>
    </row>
    <row r="235" spans="1:5" x14ac:dyDescent="0.35">
      <c r="A235" s="6"/>
      <c r="B235" t="s">
        <v>16</v>
      </c>
      <c r="C235" t="s">
        <v>61</v>
      </c>
      <c r="D235" t="s">
        <v>129</v>
      </c>
      <c r="E235" s="7">
        <v>1</v>
      </c>
    </row>
    <row r="236" spans="1:5" x14ac:dyDescent="0.35">
      <c r="A236" s="6"/>
      <c r="B236" t="s">
        <v>16</v>
      </c>
      <c r="C236" t="s">
        <v>62</v>
      </c>
      <c r="D236" t="s">
        <v>30</v>
      </c>
      <c r="E236" s="7">
        <v>0</v>
      </c>
    </row>
    <row r="237" spans="1:5" x14ac:dyDescent="0.35">
      <c r="A237" s="6"/>
      <c r="B237" t="s">
        <v>16</v>
      </c>
      <c r="C237" t="s">
        <v>64</v>
      </c>
      <c r="D237" t="s">
        <v>30</v>
      </c>
      <c r="E237" s="7">
        <v>0</v>
      </c>
    </row>
    <row r="238" spans="1:5" x14ac:dyDescent="0.35">
      <c r="A238" s="9"/>
    </row>
    <row r="239" spans="1:5" x14ac:dyDescent="0.35">
      <c r="A239" s="8"/>
    </row>
    <row r="240" spans="1:5" x14ac:dyDescent="0.35">
      <c r="A240" s="9"/>
    </row>
    <row r="241" spans="1:9" x14ac:dyDescent="0.35">
      <c r="A241" s="9"/>
    </row>
    <row r="242" spans="1:9" x14ac:dyDescent="0.35">
      <c r="A242" s="9"/>
    </row>
    <row r="243" spans="1:9" x14ac:dyDescent="0.35">
      <c r="A243" s="5"/>
      <c r="B243" t="s">
        <v>12</v>
      </c>
      <c r="C243" t="s">
        <v>13</v>
      </c>
      <c r="D243" t="s">
        <v>14</v>
      </c>
      <c r="E243" t="s">
        <v>15</v>
      </c>
      <c r="F243" t="s">
        <v>58</v>
      </c>
      <c r="G243" t="s">
        <v>33</v>
      </c>
      <c r="H243" t="s">
        <v>130</v>
      </c>
      <c r="I243" s="7">
        <v>0.32100000000000001</v>
      </c>
    </row>
    <row r="244" spans="1:9" x14ac:dyDescent="0.35">
      <c r="A244" s="6"/>
      <c r="B244" t="s">
        <v>16</v>
      </c>
      <c r="C244" t="s">
        <v>38</v>
      </c>
      <c r="D244" t="s">
        <v>131</v>
      </c>
      <c r="E244" s="7">
        <v>0</v>
      </c>
    </row>
    <row r="245" spans="1:9" x14ac:dyDescent="0.35">
      <c r="A245" s="6"/>
      <c r="B245" t="s">
        <v>16</v>
      </c>
      <c r="C245" t="s">
        <v>35</v>
      </c>
      <c r="D245" t="s">
        <v>31</v>
      </c>
      <c r="E245" s="7">
        <v>0</v>
      </c>
    </row>
    <row r="246" spans="1:9" x14ac:dyDescent="0.35">
      <c r="A246" s="6"/>
      <c r="B246" t="s">
        <v>16</v>
      </c>
      <c r="C246" t="s">
        <v>41</v>
      </c>
      <c r="D246" t="s">
        <v>30</v>
      </c>
      <c r="E246" s="7">
        <v>0</v>
      </c>
    </row>
    <row r="247" spans="1:9" x14ac:dyDescent="0.35">
      <c r="A247" s="6"/>
      <c r="B247" t="s">
        <v>16</v>
      </c>
      <c r="C247" t="s">
        <v>43</v>
      </c>
      <c r="D247" t="s">
        <v>132</v>
      </c>
      <c r="E247" s="7">
        <v>0.316</v>
      </c>
    </row>
    <row r="248" spans="1:9" x14ac:dyDescent="0.35">
      <c r="A248" s="6"/>
      <c r="B248" t="s">
        <v>16</v>
      </c>
      <c r="C248" t="s">
        <v>45</v>
      </c>
      <c r="D248" t="s">
        <v>133</v>
      </c>
      <c r="E248" s="7">
        <v>0.33100000000000002</v>
      </c>
    </row>
    <row r="249" spans="1:9" x14ac:dyDescent="0.35">
      <c r="A249" s="6"/>
      <c r="B249" t="s">
        <v>16</v>
      </c>
      <c r="C249" t="s">
        <v>47</v>
      </c>
      <c r="D249" t="s">
        <v>30</v>
      </c>
      <c r="E249" s="7">
        <v>0</v>
      </c>
    </row>
    <row r="250" spans="1:9" x14ac:dyDescent="0.35">
      <c r="A250" s="6"/>
      <c r="B250" t="s">
        <v>16</v>
      </c>
      <c r="C250" t="s">
        <v>49</v>
      </c>
      <c r="D250" t="s">
        <v>30</v>
      </c>
      <c r="E250" s="7">
        <v>0</v>
      </c>
    </row>
    <row r="251" spans="1:9" x14ac:dyDescent="0.35">
      <c r="A251" s="6"/>
      <c r="B251" t="s">
        <v>16</v>
      </c>
      <c r="C251" t="s">
        <v>51</v>
      </c>
      <c r="D251" t="s">
        <v>59</v>
      </c>
      <c r="E251" s="7">
        <v>1</v>
      </c>
    </row>
    <row r="252" spans="1:9" x14ac:dyDescent="0.35">
      <c r="A252" s="6"/>
      <c r="B252" t="s">
        <v>16</v>
      </c>
      <c r="C252" t="s">
        <v>52</v>
      </c>
      <c r="D252" t="s">
        <v>30</v>
      </c>
      <c r="E252" s="7">
        <v>0</v>
      </c>
    </row>
    <row r="253" spans="1:9" x14ac:dyDescent="0.35">
      <c r="A253" s="6"/>
      <c r="B253" t="s">
        <v>16</v>
      </c>
      <c r="C253" t="s">
        <v>54</v>
      </c>
      <c r="D253" t="s">
        <v>30</v>
      </c>
      <c r="E253" s="7">
        <v>0</v>
      </c>
    </row>
    <row r="254" spans="1:9" x14ac:dyDescent="0.35">
      <c r="A254" s="6"/>
      <c r="B254" t="s">
        <v>16</v>
      </c>
      <c r="C254" t="s">
        <v>56</v>
      </c>
      <c r="D254" t="s">
        <v>30</v>
      </c>
      <c r="E254" s="7">
        <v>0</v>
      </c>
    </row>
    <row r="255" spans="1:9" x14ac:dyDescent="0.35">
      <c r="A255" s="6"/>
      <c r="B255" t="s">
        <v>16</v>
      </c>
      <c r="C255" t="s">
        <v>58</v>
      </c>
      <c r="D255" t="s">
        <v>30</v>
      </c>
      <c r="E255" s="7">
        <v>0</v>
      </c>
    </row>
    <row r="256" spans="1:9" x14ac:dyDescent="0.35">
      <c r="A256" s="6"/>
      <c r="B256" t="s">
        <v>16</v>
      </c>
      <c r="C256" t="s">
        <v>60</v>
      </c>
      <c r="D256" t="s">
        <v>134</v>
      </c>
      <c r="E256" s="7">
        <v>0.72699999999999998</v>
      </c>
    </row>
    <row r="257" spans="1:9" x14ac:dyDescent="0.35">
      <c r="A257" s="6"/>
      <c r="B257" t="s">
        <v>16</v>
      </c>
      <c r="C257" t="s">
        <v>61</v>
      </c>
      <c r="D257" t="s">
        <v>30</v>
      </c>
      <c r="E257" s="7">
        <v>0</v>
      </c>
    </row>
    <row r="258" spans="1:9" x14ac:dyDescent="0.35">
      <c r="A258" s="6"/>
      <c r="B258" t="s">
        <v>16</v>
      </c>
      <c r="C258" t="s">
        <v>62</v>
      </c>
      <c r="D258" t="s">
        <v>30</v>
      </c>
      <c r="E258" s="7">
        <v>0</v>
      </c>
    </row>
    <row r="259" spans="1:9" x14ac:dyDescent="0.35">
      <c r="A259" s="6"/>
      <c r="B259" t="s">
        <v>16</v>
      </c>
      <c r="C259" t="s">
        <v>64</v>
      </c>
      <c r="D259" t="s">
        <v>30</v>
      </c>
      <c r="E259" s="7">
        <v>0</v>
      </c>
    </row>
    <row r="260" spans="1:9" x14ac:dyDescent="0.35">
      <c r="A260" s="9"/>
    </row>
    <row r="261" spans="1:9" x14ac:dyDescent="0.35">
      <c r="A261" s="8"/>
    </row>
    <row r="262" spans="1:9" x14ac:dyDescent="0.35">
      <c r="A262" s="9"/>
    </row>
    <row r="263" spans="1:9" x14ac:dyDescent="0.35">
      <c r="A263" s="9"/>
    </row>
    <row r="264" spans="1:9" x14ac:dyDescent="0.35">
      <c r="A264" s="9"/>
    </row>
    <row r="265" spans="1:9" x14ac:dyDescent="0.35">
      <c r="A265" s="5"/>
      <c r="B265" t="s">
        <v>12</v>
      </c>
      <c r="C265" t="s">
        <v>13</v>
      </c>
      <c r="D265" t="s">
        <v>14</v>
      </c>
      <c r="E265" t="s">
        <v>15</v>
      </c>
      <c r="F265" t="s">
        <v>60</v>
      </c>
      <c r="G265" t="s">
        <v>33</v>
      </c>
      <c r="H265" t="s">
        <v>135</v>
      </c>
      <c r="I265" s="7">
        <v>0.19500000000000001</v>
      </c>
    </row>
    <row r="266" spans="1:9" x14ac:dyDescent="0.35">
      <c r="A266" s="6"/>
      <c r="B266" t="s">
        <v>16</v>
      </c>
      <c r="C266" t="s">
        <v>38</v>
      </c>
      <c r="D266" t="s">
        <v>136</v>
      </c>
      <c r="E266" s="7">
        <v>0</v>
      </c>
    </row>
    <row r="267" spans="1:9" x14ac:dyDescent="0.35">
      <c r="A267" s="6"/>
      <c r="B267" t="s">
        <v>16</v>
      </c>
      <c r="C267" t="s">
        <v>35</v>
      </c>
      <c r="D267" t="s">
        <v>30</v>
      </c>
      <c r="E267" s="7">
        <v>0</v>
      </c>
    </row>
    <row r="268" spans="1:9" x14ac:dyDescent="0.35">
      <c r="A268" s="6"/>
      <c r="B268" t="s">
        <v>16</v>
      </c>
      <c r="C268" t="s">
        <v>41</v>
      </c>
      <c r="D268" t="s">
        <v>30</v>
      </c>
      <c r="E268" s="7">
        <v>0</v>
      </c>
    </row>
    <row r="269" spans="1:9" x14ac:dyDescent="0.35">
      <c r="A269" s="6"/>
      <c r="B269" t="s">
        <v>16</v>
      </c>
      <c r="C269" t="s">
        <v>43</v>
      </c>
      <c r="D269" t="s">
        <v>137</v>
      </c>
      <c r="E269" s="7">
        <v>0.19700000000000001</v>
      </c>
    </row>
    <row r="270" spans="1:9" x14ac:dyDescent="0.35">
      <c r="A270" s="6"/>
      <c r="B270" t="s">
        <v>16</v>
      </c>
      <c r="C270" t="s">
        <v>45</v>
      </c>
      <c r="D270" t="s">
        <v>138</v>
      </c>
      <c r="E270" s="7">
        <v>0.2</v>
      </c>
    </row>
    <row r="271" spans="1:9" x14ac:dyDescent="0.35">
      <c r="A271" s="6"/>
      <c r="B271" t="s">
        <v>16</v>
      </c>
      <c r="C271" t="s">
        <v>47</v>
      </c>
      <c r="D271" t="s">
        <v>30</v>
      </c>
      <c r="E271" s="7">
        <v>0</v>
      </c>
    </row>
    <row r="272" spans="1:9" x14ac:dyDescent="0.35">
      <c r="A272" s="6"/>
      <c r="B272" t="s">
        <v>16</v>
      </c>
      <c r="C272" t="s">
        <v>49</v>
      </c>
      <c r="D272" t="s">
        <v>30</v>
      </c>
      <c r="E272" s="7">
        <v>0</v>
      </c>
    </row>
    <row r="273" spans="1:9" x14ac:dyDescent="0.35">
      <c r="A273" s="6"/>
      <c r="B273" t="s">
        <v>16</v>
      </c>
      <c r="C273" t="s">
        <v>51</v>
      </c>
      <c r="D273" t="s">
        <v>31</v>
      </c>
      <c r="E273" s="7">
        <v>0</v>
      </c>
    </row>
    <row r="274" spans="1:9" x14ac:dyDescent="0.35">
      <c r="A274" s="6"/>
      <c r="B274" t="s">
        <v>16</v>
      </c>
      <c r="C274" t="s">
        <v>52</v>
      </c>
      <c r="D274" t="s">
        <v>31</v>
      </c>
      <c r="E274" s="7">
        <v>0</v>
      </c>
    </row>
    <row r="275" spans="1:9" x14ac:dyDescent="0.35">
      <c r="A275" s="6"/>
      <c r="B275" t="s">
        <v>16</v>
      </c>
      <c r="C275" t="s">
        <v>54</v>
      </c>
      <c r="D275" t="s">
        <v>30</v>
      </c>
      <c r="E275" s="7">
        <v>0</v>
      </c>
    </row>
    <row r="276" spans="1:9" x14ac:dyDescent="0.35">
      <c r="A276" s="6"/>
      <c r="B276" t="s">
        <v>16</v>
      </c>
      <c r="C276" t="s">
        <v>56</v>
      </c>
      <c r="D276" t="s">
        <v>30</v>
      </c>
      <c r="E276" s="7">
        <v>0</v>
      </c>
    </row>
    <row r="277" spans="1:9" x14ac:dyDescent="0.35">
      <c r="A277" s="6"/>
      <c r="B277" t="s">
        <v>16</v>
      </c>
      <c r="C277" t="s">
        <v>58</v>
      </c>
      <c r="D277" t="s">
        <v>139</v>
      </c>
      <c r="E277" s="7">
        <v>0.27300000000000002</v>
      </c>
    </row>
    <row r="278" spans="1:9" x14ac:dyDescent="0.35">
      <c r="A278" s="6"/>
      <c r="B278" t="s">
        <v>16</v>
      </c>
      <c r="C278" t="s">
        <v>60</v>
      </c>
      <c r="D278" t="s">
        <v>30</v>
      </c>
      <c r="E278" s="7">
        <v>0</v>
      </c>
    </row>
    <row r="279" spans="1:9" x14ac:dyDescent="0.35">
      <c r="A279" s="6"/>
      <c r="B279" t="s">
        <v>16</v>
      </c>
      <c r="C279" t="s">
        <v>61</v>
      </c>
      <c r="D279" t="s">
        <v>30</v>
      </c>
      <c r="E279" s="7">
        <v>0</v>
      </c>
    </row>
    <row r="280" spans="1:9" x14ac:dyDescent="0.35">
      <c r="A280" s="6"/>
      <c r="B280" t="s">
        <v>16</v>
      </c>
      <c r="C280" t="s">
        <v>62</v>
      </c>
      <c r="D280" t="s">
        <v>30</v>
      </c>
      <c r="E280" s="7">
        <v>0</v>
      </c>
    </row>
    <row r="281" spans="1:9" x14ac:dyDescent="0.35">
      <c r="A281" s="6"/>
      <c r="B281" t="s">
        <v>16</v>
      </c>
      <c r="C281" t="s">
        <v>64</v>
      </c>
      <c r="D281" t="s">
        <v>30</v>
      </c>
      <c r="E281" s="7">
        <v>0</v>
      </c>
    </row>
    <row r="282" spans="1:9" x14ac:dyDescent="0.35">
      <c r="A282" s="9"/>
    </row>
    <row r="283" spans="1:9" x14ac:dyDescent="0.35">
      <c r="A283" s="8"/>
    </row>
    <row r="284" spans="1:9" x14ac:dyDescent="0.35">
      <c r="A284" s="9"/>
    </row>
    <row r="285" spans="1:9" x14ac:dyDescent="0.35">
      <c r="A285" s="9"/>
    </row>
    <row r="286" spans="1:9" x14ac:dyDescent="0.35">
      <c r="A286" s="9"/>
    </row>
    <row r="287" spans="1:9" x14ac:dyDescent="0.35">
      <c r="A287" s="5"/>
      <c r="B287" t="s">
        <v>12</v>
      </c>
      <c r="C287" t="s">
        <v>13</v>
      </c>
      <c r="D287" t="s">
        <v>14</v>
      </c>
      <c r="E287" t="s">
        <v>15</v>
      </c>
      <c r="F287" t="s">
        <v>61</v>
      </c>
      <c r="G287" t="s">
        <v>33</v>
      </c>
      <c r="H287" t="s">
        <v>140</v>
      </c>
      <c r="I287" s="7">
        <v>0.152</v>
      </c>
    </row>
    <row r="288" spans="1:9" x14ac:dyDescent="0.35">
      <c r="A288" s="6"/>
      <c r="B288" t="s">
        <v>16</v>
      </c>
      <c r="C288" t="s">
        <v>38</v>
      </c>
      <c r="D288" t="s">
        <v>30</v>
      </c>
      <c r="E288" s="7">
        <v>0</v>
      </c>
    </row>
    <row r="289" spans="1:5" x14ac:dyDescent="0.35">
      <c r="A289" s="6"/>
      <c r="B289" t="s">
        <v>16</v>
      </c>
      <c r="C289" t="s">
        <v>35</v>
      </c>
      <c r="D289" t="s">
        <v>30</v>
      </c>
      <c r="E289" s="7">
        <v>0</v>
      </c>
    </row>
    <row r="290" spans="1:5" x14ac:dyDescent="0.35">
      <c r="A290" s="6"/>
      <c r="B290" t="s">
        <v>16</v>
      </c>
      <c r="C290" t="s">
        <v>41</v>
      </c>
      <c r="D290" t="s">
        <v>141</v>
      </c>
      <c r="E290" s="7">
        <v>0.16400000000000001</v>
      </c>
    </row>
    <row r="291" spans="1:5" x14ac:dyDescent="0.35">
      <c r="A291" s="6"/>
      <c r="B291" t="s">
        <v>16</v>
      </c>
      <c r="C291" t="s">
        <v>43</v>
      </c>
      <c r="D291" t="s">
        <v>30</v>
      </c>
      <c r="E291" s="7">
        <v>0</v>
      </c>
    </row>
    <row r="292" spans="1:5" x14ac:dyDescent="0.35">
      <c r="A292" s="6"/>
      <c r="B292" t="s">
        <v>16</v>
      </c>
      <c r="C292" t="s">
        <v>45</v>
      </c>
      <c r="D292" t="s">
        <v>30</v>
      </c>
      <c r="E292" s="7">
        <v>0</v>
      </c>
    </row>
    <row r="293" spans="1:5" x14ac:dyDescent="0.35">
      <c r="A293" s="6"/>
      <c r="B293" t="s">
        <v>16</v>
      </c>
      <c r="C293" t="s">
        <v>47</v>
      </c>
      <c r="D293" t="s">
        <v>142</v>
      </c>
      <c r="E293" s="7">
        <v>0.125</v>
      </c>
    </row>
    <row r="294" spans="1:5" x14ac:dyDescent="0.35">
      <c r="A294" s="6"/>
      <c r="B294" t="s">
        <v>16</v>
      </c>
      <c r="C294" t="s">
        <v>49</v>
      </c>
      <c r="D294" t="s">
        <v>31</v>
      </c>
      <c r="E294" s="7">
        <v>0</v>
      </c>
    </row>
    <row r="295" spans="1:5" x14ac:dyDescent="0.35">
      <c r="A295" s="6"/>
      <c r="B295" t="s">
        <v>16</v>
      </c>
      <c r="C295" t="s">
        <v>51</v>
      </c>
      <c r="D295" t="s">
        <v>30</v>
      </c>
      <c r="E295" s="7">
        <v>0</v>
      </c>
    </row>
    <row r="296" spans="1:5" x14ac:dyDescent="0.35">
      <c r="A296" s="6"/>
      <c r="B296" t="s">
        <v>16</v>
      </c>
      <c r="C296" t="s">
        <v>52</v>
      </c>
      <c r="D296" t="s">
        <v>30</v>
      </c>
      <c r="E296" s="7">
        <v>0</v>
      </c>
    </row>
    <row r="297" spans="1:5" x14ac:dyDescent="0.35">
      <c r="A297" s="6"/>
      <c r="B297" t="s">
        <v>16</v>
      </c>
      <c r="C297" t="s">
        <v>54</v>
      </c>
      <c r="D297" t="s">
        <v>31</v>
      </c>
      <c r="E297" s="7">
        <v>0</v>
      </c>
    </row>
    <row r="298" spans="1:5" x14ac:dyDescent="0.35">
      <c r="A298" s="6"/>
      <c r="B298" t="s">
        <v>16</v>
      </c>
      <c r="C298" t="s">
        <v>56</v>
      </c>
      <c r="D298" t="s">
        <v>143</v>
      </c>
      <c r="E298" s="7">
        <v>0</v>
      </c>
    </row>
    <row r="299" spans="1:5" x14ac:dyDescent="0.35">
      <c r="A299" s="6"/>
      <c r="B299" t="s">
        <v>16</v>
      </c>
      <c r="C299" t="s">
        <v>58</v>
      </c>
      <c r="D299" t="s">
        <v>30</v>
      </c>
      <c r="E299" s="7">
        <v>0</v>
      </c>
    </row>
    <row r="300" spans="1:5" x14ac:dyDescent="0.35">
      <c r="A300" s="6"/>
      <c r="B300" t="s">
        <v>16</v>
      </c>
      <c r="C300" t="s">
        <v>60</v>
      </c>
      <c r="D300" t="s">
        <v>30</v>
      </c>
      <c r="E300" s="7">
        <v>0</v>
      </c>
    </row>
    <row r="301" spans="1:5" x14ac:dyDescent="0.35">
      <c r="A301" s="6"/>
      <c r="B301" t="s">
        <v>16</v>
      </c>
      <c r="C301" t="s">
        <v>61</v>
      </c>
      <c r="D301" t="s">
        <v>30</v>
      </c>
      <c r="E301" s="7">
        <v>0</v>
      </c>
    </row>
    <row r="302" spans="1:5" x14ac:dyDescent="0.35">
      <c r="A302" s="6"/>
      <c r="B302" t="s">
        <v>16</v>
      </c>
      <c r="C302" t="s">
        <v>62</v>
      </c>
      <c r="D302" t="s">
        <v>30</v>
      </c>
      <c r="E302" s="7">
        <v>0</v>
      </c>
    </row>
    <row r="303" spans="1:5" x14ac:dyDescent="0.35">
      <c r="A303" s="6"/>
      <c r="B303" t="s">
        <v>16</v>
      </c>
      <c r="C303" t="s">
        <v>64</v>
      </c>
      <c r="D303" t="s">
        <v>30</v>
      </c>
      <c r="E303" s="7">
        <v>0</v>
      </c>
    </row>
    <row r="304" spans="1:5" x14ac:dyDescent="0.35">
      <c r="A304" s="9"/>
    </row>
    <row r="305" spans="1:9" x14ac:dyDescent="0.35">
      <c r="A305" s="8"/>
    </row>
    <row r="306" spans="1:9" x14ac:dyDescent="0.35">
      <c r="A306" s="9"/>
    </row>
    <row r="307" spans="1:9" x14ac:dyDescent="0.35">
      <c r="A307" s="9"/>
    </row>
    <row r="308" spans="1:9" x14ac:dyDescent="0.35">
      <c r="A308" s="9"/>
    </row>
    <row r="309" spans="1:9" x14ac:dyDescent="0.35">
      <c r="A309" s="5"/>
      <c r="B309" t="s">
        <v>12</v>
      </c>
      <c r="C309" t="s">
        <v>13</v>
      </c>
      <c r="D309" t="s">
        <v>14</v>
      </c>
      <c r="E309" t="s">
        <v>15</v>
      </c>
      <c r="F309" t="s">
        <v>62</v>
      </c>
      <c r="G309" t="s">
        <v>33</v>
      </c>
      <c r="H309" t="s">
        <v>144</v>
      </c>
      <c r="I309" s="7">
        <v>9.1999999999999998E-2</v>
      </c>
    </row>
    <row r="310" spans="1:9" x14ac:dyDescent="0.35">
      <c r="A310" s="6"/>
      <c r="B310" t="s">
        <v>16</v>
      </c>
      <c r="C310" t="s">
        <v>38</v>
      </c>
      <c r="D310" t="s">
        <v>59</v>
      </c>
      <c r="E310" s="7">
        <v>1</v>
      </c>
    </row>
    <row r="311" spans="1:9" x14ac:dyDescent="0.35">
      <c r="A311" s="6"/>
      <c r="B311" t="s">
        <v>16</v>
      </c>
      <c r="C311" t="s">
        <v>35</v>
      </c>
      <c r="D311" t="s">
        <v>145</v>
      </c>
      <c r="E311" s="7">
        <v>7.0000000000000007E-2</v>
      </c>
    </row>
    <row r="312" spans="1:9" x14ac:dyDescent="0.35">
      <c r="A312" s="6"/>
      <c r="B312" t="s">
        <v>16</v>
      </c>
      <c r="C312" t="s">
        <v>41</v>
      </c>
      <c r="D312" t="s">
        <v>53</v>
      </c>
      <c r="E312" s="7">
        <v>0.5</v>
      </c>
    </row>
    <row r="313" spans="1:9" x14ac:dyDescent="0.35">
      <c r="A313" s="6"/>
      <c r="B313" t="s">
        <v>16</v>
      </c>
      <c r="C313" t="s">
        <v>43</v>
      </c>
      <c r="D313" t="s">
        <v>30</v>
      </c>
      <c r="E313" s="7">
        <v>0</v>
      </c>
    </row>
    <row r="314" spans="1:9" x14ac:dyDescent="0.35">
      <c r="A314" s="6"/>
      <c r="B314" t="s">
        <v>16</v>
      </c>
      <c r="C314" t="s">
        <v>45</v>
      </c>
      <c r="D314" t="s">
        <v>30</v>
      </c>
      <c r="E314" s="7">
        <v>0</v>
      </c>
    </row>
    <row r="315" spans="1:9" x14ac:dyDescent="0.35">
      <c r="A315" s="6"/>
      <c r="B315" t="s">
        <v>16</v>
      </c>
      <c r="C315" t="s">
        <v>47</v>
      </c>
      <c r="D315" t="s">
        <v>30</v>
      </c>
      <c r="E315" s="7">
        <v>0</v>
      </c>
    </row>
    <row r="316" spans="1:9" x14ac:dyDescent="0.35">
      <c r="A316" s="6"/>
      <c r="B316" t="s">
        <v>16</v>
      </c>
      <c r="C316" t="s">
        <v>49</v>
      </c>
      <c r="D316" t="s">
        <v>91</v>
      </c>
      <c r="E316" s="7">
        <v>0.33300000000000002</v>
      </c>
    </row>
    <row r="317" spans="1:9" x14ac:dyDescent="0.35">
      <c r="A317" s="6"/>
      <c r="B317" t="s">
        <v>16</v>
      </c>
      <c r="C317" t="s">
        <v>51</v>
      </c>
      <c r="D317" t="s">
        <v>30</v>
      </c>
      <c r="E317" s="7">
        <v>0</v>
      </c>
    </row>
    <row r="318" spans="1:9" x14ac:dyDescent="0.35">
      <c r="A318" s="6"/>
      <c r="B318" t="s">
        <v>16</v>
      </c>
      <c r="C318" t="s">
        <v>52</v>
      </c>
      <c r="D318" t="s">
        <v>30</v>
      </c>
      <c r="E318" s="7">
        <v>0</v>
      </c>
    </row>
    <row r="319" spans="1:9" x14ac:dyDescent="0.35">
      <c r="A319" s="6"/>
      <c r="B319" t="s">
        <v>16</v>
      </c>
      <c r="C319" t="s">
        <v>54</v>
      </c>
      <c r="D319" t="s">
        <v>103</v>
      </c>
      <c r="E319" s="7">
        <v>0.16700000000000001</v>
      </c>
    </row>
    <row r="320" spans="1:9" x14ac:dyDescent="0.35">
      <c r="A320" s="6"/>
      <c r="B320" t="s">
        <v>16</v>
      </c>
      <c r="C320" t="s">
        <v>56</v>
      </c>
      <c r="D320" t="s">
        <v>30</v>
      </c>
      <c r="E320" s="7">
        <v>0</v>
      </c>
    </row>
    <row r="321" spans="1:9" x14ac:dyDescent="0.35">
      <c r="A321" s="6"/>
      <c r="B321" t="s">
        <v>16</v>
      </c>
      <c r="C321" t="s">
        <v>58</v>
      </c>
      <c r="D321" t="s">
        <v>30</v>
      </c>
      <c r="E321" s="7">
        <v>0</v>
      </c>
    </row>
    <row r="322" spans="1:9" x14ac:dyDescent="0.35">
      <c r="A322" s="6"/>
      <c r="B322" t="s">
        <v>16</v>
      </c>
      <c r="C322" t="s">
        <v>60</v>
      </c>
      <c r="D322" t="s">
        <v>30</v>
      </c>
      <c r="E322" s="7">
        <v>0</v>
      </c>
    </row>
    <row r="323" spans="1:9" x14ac:dyDescent="0.35">
      <c r="A323" s="6"/>
      <c r="B323" t="s">
        <v>16</v>
      </c>
      <c r="C323" t="s">
        <v>61</v>
      </c>
      <c r="D323" t="s">
        <v>30</v>
      </c>
      <c r="E323" s="7">
        <v>0</v>
      </c>
    </row>
    <row r="324" spans="1:9" x14ac:dyDescent="0.35">
      <c r="A324" s="6"/>
      <c r="B324" t="s">
        <v>16</v>
      </c>
      <c r="C324" t="s">
        <v>62</v>
      </c>
      <c r="D324" t="s">
        <v>30</v>
      </c>
      <c r="E324" s="7">
        <v>0</v>
      </c>
    </row>
    <row r="325" spans="1:9" x14ac:dyDescent="0.35">
      <c r="A325" s="6"/>
      <c r="B325" t="s">
        <v>16</v>
      </c>
      <c r="C325" t="s">
        <v>64</v>
      </c>
      <c r="D325" t="s">
        <v>30</v>
      </c>
      <c r="E325" s="7">
        <v>0</v>
      </c>
    </row>
    <row r="326" spans="1:9" x14ac:dyDescent="0.35">
      <c r="A326" s="9"/>
    </row>
    <row r="327" spans="1:9" x14ac:dyDescent="0.35">
      <c r="A327" s="8"/>
    </row>
    <row r="328" spans="1:9" x14ac:dyDescent="0.35">
      <c r="A328" s="9"/>
    </row>
    <row r="329" spans="1:9" x14ac:dyDescent="0.35">
      <c r="A329" s="9"/>
    </row>
    <row r="330" spans="1:9" x14ac:dyDescent="0.35">
      <c r="A330" s="9"/>
    </row>
    <row r="331" spans="1:9" x14ac:dyDescent="0.35">
      <c r="A331" s="5"/>
      <c r="B331" t="s">
        <v>12</v>
      </c>
      <c r="C331" t="s">
        <v>13</v>
      </c>
      <c r="D331" t="s">
        <v>14</v>
      </c>
      <c r="E331" t="s">
        <v>15</v>
      </c>
      <c r="F331" t="s">
        <v>64</v>
      </c>
      <c r="G331" t="s">
        <v>33</v>
      </c>
      <c r="H331" t="s">
        <v>146</v>
      </c>
      <c r="I331" s="7">
        <v>0</v>
      </c>
    </row>
    <row r="332" spans="1:9" x14ac:dyDescent="0.35">
      <c r="A332" s="6"/>
      <c r="B332" t="s">
        <v>16</v>
      </c>
      <c r="C332" t="s">
        <v>38</v>
      </c>
      <c r="D332" t="s">
        <v>146</v>
      </c>
      <c r="E332" s="7">
        <v>0</v>
      </c>
    </row>
    <row r="333" spans="1:9" x14ac:dyDescent="0.35">
      <c r="A333" s="6"/>
      <c r="B333" t="s">
        <v>16</v>
      </c>
      <c r="C333" t="s">
        <v>35</v>
      </c>
      <c r="D333" t="s">
        <v>30</v>
      </c>
      <c r="E333" s="7">
        <v>0</v>
      </c>
    </row>
    <row r="334" spans="1:9" x14ac:dyDescent="0.35">
      <c r="A334" s="6"/>
      <c r="B334" t="s">
        <v>16</v>
      </c>
      <c r="C334" t="s">
        <v>41</v>
      </c>
      <c r="D334" t="s">
        <v>30</v>
      </c>
      <c r="E334" s="7">
        <v>0</v>
      </c>
    </row>
    <row r="335" spans="1:9" x14ac:dyDescent="0.35">
      <c r="A335" s="6"/>
      <c r="B335" t="s">
        <v>16</v>
      </c>
      <c r="C335" t="s">
        <v>43</v>
      </c>
      <c r="D335" t="s">
        <v>30</v>
      </c>
      <c r="E335" s="7">
        <v>0</v>
      </c>
    </row>
    <row r="336" spans="1:9" x14ac:dyDescent="0.35">
      <c r="A336" s="6"/>
      <c r="B336" t="s">
        <v>16</v>
      </c>
      <c r="C336" t="s">
        <v>45</v>
      </c>
      <c r="D336" t="s">
        <v>30</v>
      </c>
      <c r="E336" s="7">
        <v>0</v>
      </c>
    </row>
    <row r="337" spans="1:5" x14ac:dyDescent="0.35">
      <c r="A337" s="6"/>
      <c r="B337" t="s">
        <v>16</v>
      </c>
      <c r="C337" t="s">
        <v>47</v>
      </c>
      <c r="D337" t="s">
        <v>30</v>
      </c>
      <c r="E337" s="7">
        <v>0</v>
      </c>
    </row>
    <row r="338" spans="1:5" x14ac:dyDescent="0.35">
      <c r="A338" s="6"/>
      <c r="B338" t="s">
        <v>16</v>
      </c>
      <c r="C338" t="s">
        <v>49</v>
      </c>
      <c r="D338" t="s">
        <v>30</v>
      </c>
      <c r="E338" s="7">
        <v>0</v>
      </c>
    </row>
    <row r="339" spans="1:5" x14ac:dyDescent="0.35">
      <c r="A339" s="6"/>
      <c r="B339" t="s">
        <v>16</v>
      </c>
      <c r="C339" t="s">
        <v>51</v>
      </c>
      <c r="D339" t="s">
        <v>30</v>
      </c>
      <c r="E339" s="7">
        <v>0</v>
      </c>
    </row>
    <row r="340" spans="1:5" x14ac:dyDescent="0.35">
      <c r="A340" s="6"/>
      <c r="B340" t="s">
        <v>16</v>
      </c>
      <c r="C340" t="s">
        <v>52</v>
      </c>
      <c r="D340" t="s">
        <v>30</v>
      </c>
      <c r="E340" s="7">
        <v>0</v>
      </c>
    </row>
    <row r="341" spans="1:5" x14ac:dyDescent="0.35">
      <c r="A341" s="6"/>
      <c r="B341" t="s">
        <v>16</v>
      </c>
      <c r="C341" t="s">
        <v>54</v>
      </c>
      <c r="D341" t="s">
        <v>30</v>
      </c>
      <c r="E341" s="7">
        <v>0</v>
      </c>
    </row>
    <row r="342" spans="1:5" x14ac:dyDescent="0.35">
      <c r="A342" s="6"/>
      <c r="B342" t="s">
        <v>16</v>
      </c>
      <c r="C342" t="s">
        <v>56</v>
      </c>
      <c r="D342" t="s">
        <v>30</v>
      </c>
      <c r="E342" s="7">
        <v>0</v>
      </c>
    </row>
    <row r="343" spans="1:5" x14ac:dyDescent="0.35">
      <c r="A343" s="6"/>
      <c r="B343" t="s">
        <v>16</v>
      </c>
      <c r="C343" t="s">
        <v>58</v>
      </c>
      <c r="D343" t="s">
        <v>30</v>
      </c>
      <c r="E343" s="7">
        <v>0</v>
      </c>
    </row>
    <row r="344" spans="1:5" x14ac:dyDescent="0.35">
      <c r="A344" s="6"/>
      <c r="B344" t="s">
        <v>16</v>
      </c>
      <c r="C344" t="s">
        <v>60</v>
      </c>
      <c r="D344" t="s">
        <v>30</v>
      </c>
      <c r="E344" s="7">
        <v>0</v>
      </c>
    </row>
    <row r="345" spans="1:5" x14ac:dyDescent="0.35">
      <c r="A345" s="6"/>
      <c r="B345" t="s">
        <v>16</v>
      </c>
      <c r="C345" t="s">
        <v>61</v>
      </c>
      <c r="D345" t="s">
        <v>30</v>
      </c>
      <c r="E345" s="7">
        <v>0</v>
      </c>
    </row>
    <row r="346" spans="1:5" x14ac:dyDescent="0.35">
      <c r="A346" s="6"/>
      <c r="B346" t="s">
        <v>16</v>
      </c>
      <c r="C346" t="s">
        <v>62</v>
      </c>
      <c r="D346" t="s">
        <v>30</v>
      </c>
      <c r="E346" s="7">
        <v>0</v>
      </c>
    </row>
    <row r="347" spans="1:5" x14ac:dyDescent="0.35">
      <c r="A347" s="6"/>
      <c r="B347" t="s">
        <v>16</v>
      </c>
      <c r="C347" t="s">
        <v>64</v>
      </c>
      <c r="D347" t="s">
        <v>30</v>
      </c>
      <c r="E347" s="7">
        <v>0</v>
      </c>
    </row>
    <row r="348" spans="1:5" x14ac:dyDescent="0.35">
      <c r="A348" s="10"/>
    </row>
  </sheetData>
  <pageMargins left="0.7" right="0.7" top="0.75" bottom="0.75" header="0.3" footer="0.3"/>
  <pageSetup orientation="portrait"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70C0"/>
  </sheetPr>
  <dimension ref="A1:AK160"/>
  <sheetViews>
    <sheetView zoomScale="80" zoomScaleNormal="80" workbookViewId="0">
      <selection activeCell="P14" sqref="P14"/>
    </sheetView>
  </sheetViews>
  <sheetFormatPr defaultRowHeight="14.5" x14ac:dyDescent="0.35"/>
  <cols>
    <col min="2" max="2" width="11.36328125" bestFit="1" customWidth="1"/>
    <col min="20" max="21" width="11.453125" customWidth="1"/>
    <col min="22" max="22" width="11.6328125" customWidth="1"/>
    <col min="34" max="34" width="12.36328125" customWidth="1"/>
    <col min="35" max="35" width="12.08984375" customWidth="1"/>
  </cols>
  <sheetData>
    <row r="1" spans="1:23" x14ac:dyDescent="0.35">
      <c r="C1" t="s">
        <v>147</v>
      </c>
      <c r="D1">
        <f>$Q$1</f>
        <v>7</v>
      </c>
      <c r="K1" t="s">
        <v>148</v>
      </c>
      <c r="L1" t="s">
        <v>149</v>
      </c>
      <c r="P1" t="s">
        <v>2</v>
      </c>
      <c r="Q1">
        <v>7</v>
      </c>
      <c r="S1" s="11" t="s">
        <v>150</v>
      </c>
      <c r="T1" s="11"/>
      <c r="U1" s="11"/>
      <c r="V1" s="11"/>
      <c r="W1" s="11"/>
    </row>
    <row r="2" spans="1:23" x14ac:dyDescent="0.35">
      <c r="C2" t="s">
        <v>151</v>
      </c>
      <c r="D2" s="12">
        <f>B3</f>
        <v>0.99999899999999997</v>
      </c>
      <c r="K2" t="s">
        <v>148</v>
      </c>
      <c r="P2" t="s">
        <v>152</v>
      </c>
      <c r="Q2">
        <v>4</v>
      </c>
      <c r="S2" s="11"/>
      <c r="T2" s="11" t="s">
        <v>153</v>
      </c>
      <c r="U2" s="11"/>
      <c r="V2" s="11"/>
      <c r="W2" s="11"/>
    </row>
    <row r="3" spans="1:23" x14ac:dyDescent="0.35">
      <c r="A3">
        <v>1</v>
      </c>
      <c r="B3" s="12">
        <f>INDEX( seedperc, A4+1,A3+2)</f>
        <v>0.99999899999999997</v>
      </c>
      <c r="S3" s="11"/>
      <c r="T3" s="11" t="s">
        <v>154</v>
      </c>
      <c r="U3" s="11"/>
      <c r="V3" s="11"/>
      <c r="W3" s="11"/>
    </row>
    <row r="4" spans="1:23" x14ac:dyDescent="0.35">
      <c r="A4">
        <v>16</v>
      </c>
      <c r="B4" s="12">
        <f>1-B3</f>
        <v>1.0000000000287557E-6</v>
      </c>
      <c r="D4">
        <f ca="1">_xlfn.BINOM.INV(D1,D2,RAND())</f>
        <v>7</v>
      </c>
      <c r="E4" s="2">
        <f ca="1">IF(D4&gt;=$Q$2, A3, A4)</f>
        <v>1</v>
      </c>
      <c r="H4" t="s">
        <v>147</v>
      </c>
      <c r="I4">
        <f>$Q$1</f>
        <v>7</v>
      </c>
      <c r="S4" s="11"/>
      <c r="T4" s="11"/>
      <c r="U4" s="11"/>
      <c r="V4" s="11"/>
      <c r="W4" s="11"/>
    </row>
    <row r="5" spans="1:23" x14ac:dyDescent="0.35">
      <c r="H5" t="s">
        <v>151</v>
      </c>
      <c r="I5" s="12">
        <f ca="1">G6</f>
        <v>0.80500000000000005</v>
      </c>
    </row>
    <row r="6" spans="1:23" x14ac:dyDescent="0.35">
      <c r="C6" t="s">
        <v>147</v>
      </c>
      <c r="D6">
        <f>$Q$1</f>
        <v>7</v>
      </c>
      <c r="F6">
        <f ca="1">E4</f>
        <v>1</v>
      </c>
      <c r="G6" s="12">
        <f ca="1">INDEX( seedperc, F7+1,F6+2)</f>
        <v>0.80500000000000005</v>
      </c>
    </row>
    <row r="7" spans="1:23" x14ac:dyDescent="0.35">
      <c r="C7" t="s">
        <v>151</v>
      </c>
      <c r="D7" s="12">
        <f>B8</f>
        <v>0.52600000000000002</v>
      </c>
      <c r="F7">
        <f ca="1">E9</f>
        <v>8</v>
      </c>
      <c r="G7" s="12">
        <f ca="1">1-G6</f>
        <v>0.19499999999999995</v>
      </c>
      <c r="I7">
        <f ca="1">_xlfn.BINOM.INV(I4,I5,RAND())</f>
        <v>5</v>
      </c>
      <c r="J7" s="2">
        <f ca="1">IF(I7&gt;=$Q$2, F6, F7)</f>
        <v>1</v>
      </c>
    </row>
    <row r="8" spans="1:23" x14ac:dyDescent="0.35">
      <c r="A8">
        <v>8</v>
      </c>
      <c r="B8" s="12">
        <f>INDEX( seedperc, A9+1,A8+2)</f>
        <v>0.52600000000000002</v>
      </c>
    </row>
    <row r="9" spans="1:23" x14ac:dyDescent="0.35">
      <c r="A9">
        <v>9</v>
      </c>
      <c r="B9" s="12">
        <f>1-B8</f>
        <v>0.47399999999999998</v>
      </c>
      <c r="D9">
        <f ca="1">_xlfn.BINOM.INV(D6,D7,RAND())</f>
        <v>4</v>
      </c>
      <c r="E9" s="2">
        <f ca="1">IF(D9&gt;=$Q$2, A8, A9)</f>
        <v>8</v>
      </c>
    </row>
    <row r="10" spans="1:23" x14ac:dyDescent="0.35">
      <c r="M10" t="s">
        <v>147</v>
      </c>
      <c r="N10">
        <f>$Q$1</f>
        <v>7</v>
      </c>
    </row>
    <row r="11" spans="1:23" x14ac:dyDescent="0.35">
      <c r="C11" t="s">
        <v>147</v>
      </c>
      <c r="D11">
        <f>$Q$1</f>
        <v>7</v>
      </c>
      <c r="M11" t="s">
        <v>151</v>
      </c>
      <c r="N11" s="12">
        <f ca="1">L12</f>
        <v>0.68600000000000005</v>
      </c>
    </row>
    <row r="12" spans="1:23" x14ac:dyDescent="0.35">
      <c r="C12" t="s">
        <v>151</v>
      </c>
      <c r="D12" s="12">
        <f>B13</f>
        <v>0.66900000000000004</v>
      </c>
      <c r="K12">
        <f ca="1">J7</f>
        <v>1</v>
      </c>
      <c r="L12" s="12">
        <f ca="1">INDEX( seedperc, K13+1,K12+2)</f>
        <v>0.68600000000000005</v>
      </c>
    </row>
    <row r="13" spans="1:23" x14ac:dyDescent="0.35">
      <c r="A13">
        <v>5</v>
      </c>
      <c r="B13" s="12">
        <f>INDEX( seedperc, A14+1,A13+2)</f>
        <v>0.66900000000000004</v>
      </c>
      <c r="K13">
        <f ca="1">J17</f>
        <v>4</v>
      </c>
      <c r="L13" s="12">
        <f ca="1">1-L12</f>
        <v>0.31399999999999995</v>
      </c>
      <c r="N13">
        <f ca="1">_xlfn.BINOM.INV(N10,N11,RAND())</f>
        <v>4</v>
      </c>
      <c r="O13" s="2">
        <f ca="1">IF(N13&gt;=$Q$2, K12, K13)</f>
        <v>1</v>
      </c>
    </row>
    <row r="14" spans="1:23" x14ac:dyDescent="0.35">
      <c r="A14">
        <v>12</v>
      </c>
      <c r="B14" s="12">
        <f>1-B13</f>
        <v>0.33099999999999996</v>
      </c>
      <c r="D14">
        <f ca="1">_xlfn.BINOM.INV(D11,D12,RAND())</f>
        <v>4</v>
      </c>
      <c r="E14" s="2">
        <f ca="1">IF(D14&gt;=$Q$2, A13, A14)</f>
        <v>5</v>
      </c>
      <c r="H14" t="s">
        <v>147</v>
      </c>
      <c r="I14">
        <f>$Q$1</f>
        <v>7</v>
      </c>
    </row>
    <row r="15" spans="1:23" x14ac:dyDescent="0.35">
      <c r="H15" t="s">
        <v>151</v>
      </c>
      <c r="I15" s="12">
        <f ca="1">G16</f>
        <v>0.44900000000000001</v>
      </c>
    </row>
    <row r="16" spans="1:23" x14ac:dyDescent="0.35">
      <c r="C16" t="s">
        <v>147</v>
      </c>
      <c r="D16">
        <f>$Q$1</f>
        <v>7</v>
      </c>
      <c r="F16">
        <f ca="1">E14</f>
        <v>5</v>
      </c>
      <c r="G16" s="12">
        <f ca="1">INDEX( seedperc, F17+1,F16+2)</f>
        <v>0.44900000000000001</v>
      </c>
    </row>
    <row r="17" spans="1:21" x14ac:dyDescent="0.35">
      <c r="C17" t="s">
        <v>151</v>
      </c>
      <c r="D17" s="12">
        <f>B18</f>
        <v>0.80300000000000005</v>
      </c>
      <c r="F17">
        <f ca="1">E19</f>
        <v>4</v>
      </c>
      <c r="G17" s="12">
        <f ca="1">1-G16</f>
        <v>0.55099999999999993</v>
      </c>
      <c r="I17">
        <f ca="1">_xlfn.BINOM.INV(I14,I15,RAND())</f>
        <v>3</v>
      </c>
      <c r="J17" s="2">
        <f ca="1">IF(I17&gt;=$Q$2, F16, F17)</f>
        <v>4</v>
      </c>
    </row>
    <row r="18" spans="1:21" x14ac:dyDescent="0.35">
      <c r="A18">
        <v>4</v>
      </c>
      <c r="B18" s="12">
        <f>INDEX( seedperc, A19+1,A18+2)</f>
        <v>0.80300000000000005</v>
      </c>
    </row>
    <row r="19" spans="1:21" x14ac:dyDescent="0.35">
      <c r="A19">
        <v>13</v>
      </c>
      <c r="B19" s="12">
        <f>1-B18</f>
        <v>0.19699999999999995</v>
      </c>
      <c r="D19">
        <f ca="1">_xlfn.BINOM.INV(D16,D17,RAND())</f>
        <v>6</v>
      </c>
      <c r="E19" s="2">
        <f ca="1">IF(D19&gt;=$Q$2, A18, A19)</f>
        <v>4</v>
      </c>
    </row>
    <row r="21" spans="1:21" x14ac:dyDescent="0.35">
      <c r="C21" t="s">
        <v>147</v>
      </c>
      <c r="D21">
        <f>$Q$1</f>
        <v>7</v>
      </c>
      <c r="S21" t="s">
        <v>147</v>
      </c>
      <c r="T21">
        <f>$Q$1</f>
        <v>7</v>
      </c>
    </row>
    <row r="22" spans="1:21" x14ac:dyDescent="0.35">
      <c r="C22" t="s">
        <v>151</v>
      </c>
      <c r="D22" s="12">
        <f>B23</f>
        <v>0.64900000000000002</v>
      </c>
      <c r="S22" t="s">
        <v>151</v>
      </c>
      <c r="T22" s="12">
        <f ca="1">R23</f>
        <v>0.53500000000000003</v>
      </c>
    </row>
    <row r="23" spans="1:21" x14ac:dyDescent="0.35">
      <c r="A23">
        <v>6</v>
      </c>
      <c r="B23" s="12">
        <f>INDEX( seedperc, A24+1,A23+2)</f>
        <v>0.64900000000000002</v>
      </c>
      <c r="Q23">
        <f ca="1">O13</f>
        <v>1</v>
      </c>
      <c r="R23" s="12">
        <f ca="1">INDEX( seedperc, Q24+1,Q23+2)</f>
        <v>0.53500000000000003</v>
      </c>
    </row>
    <row r="24" spans="1:21" x14ac:dyDescent="0.35">
      <c r="A24">
        <v>11</v>
      </c>
      <c r="B24" s="12">
        <f>1-B23</f>
        <v>0.35099999999999998</v>
      </c>
      <c r="D24">
        <f ca="1">_xlfn.BINOM.INV(D21,D22,RAND())</f>
        <v>4</v>
      </c>
      <c r="E24" s="2">
        <f ca="1">IF(D24&gt;=$Q$2, A23, A24)</f>
        <v>6</v>
      </c>
      <c r="H24" t="s">
        <v>147</v>
      </c>
      <c r="I24">
        <f>$Q$1</f>
        <v>7</v>
      </c>
      <c r="Q24">
        <f ca="1">O33</f>
        <v>2</v>
      </c>
      <c r="R24" s="12">
        <f ca="1">1-R23</f>
        <v>0.46499999999999997</v>
      </c>
      <c r="T24">
        <f ca="1">_xlfn.BINOM.INV(T21,T22,RAND())</f>
        <v>1</v>
      </c>
      <c r="U24" s="2">
        <f ca="1">IF(T24&gt;=$Q$2, Q23, Q24)</f>
        <v>2</v>
      </c>
    </row>
    <row r="25" spans="1:21" x14ac:dyDescent="0.35">
      <c r="H25" t="s">
        <v>151</v>
      </c>
      <c r="I25" s="12">
        <f ca="1">G26</f>
        <v>0.45200000000000001</v>
      </c>
    </row>
    <row r="26" spans="1:21" x14ac:dyDescent="0.35">
      <c r="C26" t="s">
        <v>147</v>
      </c>
      <c r="D26">
        <f>$Q$1</f>
        <v>7</v>
      </c>
      <c r="F26">
        <f ca="1">E24</f>
        <v>6</v>
      </c>
      <c r="G26" s="12">
        <f ca="1">INDEX( seedperc, F27+1,F26+2)</f>
        <v>0.45200000000000001</v>
      </c>
    </row>
    <row r="27" spans="1:21" x14ac:dyDescent="0.35">
      <c r="C27" t="s">
        <v>151</v>
      </c>
      <c r="D27" s="12">
        <f>B28</f>
        <v>0.83599999999999997</v>
      </c>
      <c r="F27">
        <f ca="1">E29</f>
        <v>3</v>
      </c>
      <c r="G27" s="12">
        <f ca="1">1-G26</f>
        <v>0.54800000000000004</v>
      </c>
      <c r="I27">
        <f ca="1">_xlfn.BINOM.INV(I24,I25,RAND())</f>
        <v>5</v>
      </c>
      <c r="J27" s="2">
        <f ca="1">IF(I27&gt;=$Q$2, F26, F27)</f>
        <v>6</v>
      </c>
    </row>
    <row r="28" spans="1:21" x14ac:dyDescent="0.35">
      <c r="A28">
        <v>3</v>
      </c>
      <c r="B28" s="12">
        <f>INDEX( seedperc, A29+1,A28+2)</f>
        <v>0.83599999999999997</v>
      </c>
    </row>
    <row r="29" spans="1:21" x14ac:dyDescent="0.35">
      <c r="A29">
        <v>14</v>
      </c>
      <c r="B29" s="12">
        <f>1-B28</f>
        <v>0.16400000000000003</v>
      </c>
      <c r="D29">
        <f ca="1">_xlfn.BINOM.INV(D26,D27,RAND())</f>
        <v>6</v>
      </c>
      <c r="E29" s="2">
        <f ca="1">IF(D29&gt;=$Q$2, A28, A29)</f>
        <v>3</v>
      </c>
    </row>
    <row r="30" spans="1:21" x14ac:dyDescent="0.35">
      <c r="M30" t="s">
        <v>147</v>
      </c>
      <c r="N30">
        <f>$Q$1</f>
        <v>7</v>
      </c>
    </row>
    <row r="31" spans="1:21" x14ac:dyDescent="0.35">
      <c r="C31" t="s">
        <v>147</v>
      </c>
      <c r="D31">
        <f>$Q$1</f>
        <v>7</v>
      </c>
      <c r="M31" t="s">
        <v>151</v>
      </c>
      <c r="N31" s="12">
        <f ca="1">L32</f>
        <v>0.27800000000000002</v>
      </c>
    </row>
    <row r="32" spans="1:21" x14ac:dyDescent="0.35">
      <c r="C32" t="s">
        <v>151</v>
      </c>
      <c r="D32" s="12">
        <f>B33</f>
        <v>0.60499999999999998</v>
      </c>
      <c r="K32">
        <f ca="1">J27</f>
        <v>6</v>
      </c>
      <c r="L32" s="12">
        <f ca="1">INDEX( seedperc, K33+1,K32+2)</f>
        <v>0.27800000000000002</v>
      </c>
    </row>
    <row r="33" spans="1:27" x14ac:dyDescent="0.35">
      <c r="A33">
        <v>7</v>
      </c>
      <c r="B33" s="12">
        <f>INDEX( seedperc, A34+1,A33+2)</f>
        <v>0.60499999999999998</v>
      </c>
      <c r="K33">
        <f ca="1">J37</f>
        <v>2</v>
      </c>
      <c r="L33" s="12">
        <f ca="1">1-L32</f>
        <v>0.72199999999999998</v>
      </c>
      <c r="N33">
        <f ca="1">_xlfn.BINOM.INV(N30,N31,RAND())</f>
        <v>2</v>
      </c>
      <c r="O33" s="2">
        <f ca="1">IF(N33&gt;=$Q$2, K32, K33)</f>
        <v>2</v>
      </c>
    </row>
    <row r="34" spans="1:27" x14ac:dyDescent="0.35">
      <c r="A34">
        <v>10</v>
      </c>
      <c r="B34" s="12">
        <f>1-B33</f>
        <v>0.39500000000000002</v>
      </c>
      <c r="D34">
        <f ca="1">_xlfn.BINOM.INV(D31,D32,RAND())</f>
        <v>4</v>
      </c>
      <c r="E34" s="2">
        <f ca="1">IF(D34&gt;=$Q$2, A33, A34)</f>
        <v>7</v>
      </c>
      <c r="H34" t="s">
        <v>147</v>
      </c>
      <c r="I34">
        <f>$Q$1</f>
        <v>7</v>
      </c>
    </row>
    <row r="35" spans="1:27" x14ac:dyDescent="0.35">
      <c r="H35" t="s">
        <v>151</v>
      </c>
      <c r="I35" s="12">
        <f ca="1">G36</f>
        <v>0.27800000000000002</v>
      </c>
    </row>
    <row r="36" spans="1:27" x14ac:dyDescent="0.35">
      <c r="C36" t="s">
        <v>147</v>
      </c>
      <c r="D36">
        <f>$Q$1</f>
        <v>7</v>
      </c>
      <c r="F36">
        <f ca="1">E34</f>
        <v>7</v>
      </c>
      <c r="G36" s="12">
        <f ca="1">INDEX( seedperc, F37+1,F36+2)</f>
        <v>0.27800000000000002</v>
      </c>
    </row>
    <row r="37" spans="1:27" x14ac:dyDescent="0.35">
      <c r="C37" t="s">
        <v>151</v>
      </c>
      <c r="D37" s="12">
        <f>B38</f>
        <v>0.93</v>
      </c>
      <c r="F37">
        <f ca="1">E39</f>
        <v>2</v>
      </c>
      <c r="G37" s="12">
        <f ca="1">1-G36</f>
        <v>0.72199999999999998</v>
      </c>
      <c r="I37">
        <f ca="1">_xlfn.BINOM.INV(I34,I35,RAND())</f>
        <v>3</v>
      </c>
      <c r="J37" s="2">
        <f ca="1">IF(I37&gt;=$Q$2, F36, F37)</f>
        <v>2</v>
      </c>
    </row>
    <row r="38" spans="1:27" x14ac:dyDescent="0.35">
      <c r="A38">
        <v>2</v>
      </c>
      <c r="B38" s="12">
        <f>INDEX( seedperc, A39+1,A38+2)</f>
        <v>0.93</v>
      </c>
    </row>
    <row r="39" spans="1:27" x14ac:dyDescent="0.35">
      <c r="A39">
        <v>15</v>
      </c>
      <c r="B39" s="12">
        <f>1-B38</f>
        <v>6.9999999999999951E-2</v>
      </c>
      <c r="D39">
        <f ca="1">_xlfn.BINOM.INV(D36,D37,RAND())</f>
        <v>6</v>
      </c>
      <c r="E39" s="2">
        <f ca="1">IF(D39&gt;=$Q$2, A38, A39)</f>
        <v>2</v>
      </c>
    </row>
    <row r="41" spans="1:27" x14ac:dyDescent="0.35">
      <c r="Y41" t="s">
        <v>147</v>
      </c>
      <c r="Z41">
        <f>$Q$1</f>
        <v>7</v>
      </c>
    </row>
    <row r="42" spans="1:27" x14ac:dyDescent="0.35">
      <c r="C42" t="s">
        <v>147</v>
      </c>
      <c r="D42">
        <f>$Q$1</f>
        <v>7</v>
      </c>
      <c r="K42" t="s">
        <v>148</v>
      </c>
      <c r="Y42" t="s">
        <v>151</v>
      </c>
      <c r="Z42" s="12">
        <f ca="1">X43</f>
        <v>0.46500000000000002</v>
      </c>
    </row>
    <row r="43" spans="1:27" x14ac:dyDescent="0.35">
      <c r="C43" t="s">
        <v>151</v>
      </c>
      <c r="D43" s="12">
        <f>B44</f>
        <v>0.99999899999999997</v>
      </c>
      <c r="K43" t="s">
        <v>148</v>
      </c>
      <c r="W43">
        <f ca="1">U24</f>
        <v>2</v>
      </c>
      <c r="X43" s="12">
        <f ca="1">INDEX( seedperc, W44+1,W43+2)</f>
        <v>0.46500000000000002</v>
      </c>
    </row>
    <row r="44" spans="1:27" x14ac:dyDescent="0.35">
      <c r="A44">
        <v>1</v>
      </c>
      <c r="B44" s="12">
        <f>INDEX( seedperc, A45+1,A44+2)</f>
        <v>0.99999899999999997</v>
      </c>
      <c r="W44">
        <f ca="1">U65</f>
        <v>1</v>
      </c>
      <c r="X44" s="12">
        <f ca="1">1-X43</f>
        <v>0.53499999999999992</v>
      </c>
      <c r="Z44">
        <f ca="1">_xlfn.BINOM.INV(Z41,Z42,RAND())</f>
        <v>1</v>
      </c>
      <c r="AA44" s="2">
        <f ca="1">IF(Z44&gt;=$Q$2, W43, W44)</f>
        <v>1</v>
      </c>
    </row>
    <row r="45" spans="1:27" x14ac:dyDescent="0.35">
      <c r="A45">
        <v>16</v>
      </c>
      <c r="B45" s="12">
        <f>1-B44</f>
        <v>1.0000000000287557E-6</v>
      </c>
      <c r="D45">
        <f ca="1">_xlfn.BINOM.INV(D42,D43,RAND())</f>
        <v>7</v>
      </c>
      <c r="E45" s="2">
        <f ca="1">IF(D45&gt;=$Q$2, A44, A45)</f>
        <v>1</v>
      </c>
      <c r="H45" t="s">
        <v>147</v>
      </c>
      <c r="I45">
        <f>$Q$1</f>
        <v>7</v>
      </c>
    </row>
    <row r="46" spans="1:27" x14ac:dyDescent="0.35">
      <c r="H46" t="s">
        <v>151</v>
      </c>
      <c r="I46" s="12">
        <f ca="1">G47</f>
        <v>0.80500000000000005</v>
      </c>
    </row>
    <row r="47" spans="1:27" x14ac:dyDescent="0.35">
      <c r="C47" t="s">
        <v>147</v>
      </c>
      <c r="D47">
        <f>$Q$1</f>
        <v>7</v>
      </c>
      <c r="F47">
        <f ca="1">E45</f>
        <v>1</v>
      </c>
      <c r="G47" s="12">
        <f ca="1">INDEX( seedperc, F48+1,F47+2)</f>
        <v>0.80500000000000005</v>
      </c>
    </row>
    <row r="48" spans="1:27" x14ac:dyDescent="0.35">
      <c r="C48" t="s">
        <v>151</v>
      </c>
      <c r="D48" s="12">
        <f>B49</f>
        <v>0.52600000000000002</v>
      </c>
      <c r="F48">
        <f ca="1">E50</f>
        <v>8</v>
      </c>
      <c r="G48" s="12">
        <f ca="1">1-G47</f>
        <v>0.19499999999999995</v>
      </c>
      <c r="I48">
        <f ca="1">_xlfn.BINOM.INV(I45,I46,RAND())</f>
        <v>4</v>
      </c>
      <c r="J48" s="2">
        <f ca="1">IF(I48&gt;=$Q$2, F47, F48)</f>
        <v>1</v>
      </c>
    </row>
    <row r="49" spans="1:20" x14ac:dyDescent="0.35">
      <c r="A49">
        <v>8</v>
      </c>
      <c r="B49" s="12">
        <f>INDEX( seedperc, A50+1,A49+2)</f>
        <v>0.52600000000000002</v>
      </c>
    </row>
    <row r="50" spans="1:20" x14ac:dyDescent="0.35">
      <c r="A50">
        <v>9</v>
      </c>
      <c r="B50" s="12">
        <f>1-B49</f>
        <v>0.47399999999999998</v>
      </c>
      <c r="D50">
        <f ca="1">_xlfn.BINOM.INV(D47,D48,RAND())</f>
        <v>5</v>
      </c>
      <c r="E50" s="2">
        <f ca="1">IF(D50&gt;=$Q$2, A49, A50)</f>
        <v>8</v>
      </c>
    </row>
    <row r="51" spans="1:20" x14ac:dyDescent="0.35">
      <c r="M51" t="s">
        <v>147</v>
      </c>
      <c r="N51">
        <f>$Q$1</f>
        <v>7</v>
      </c>
    </row>
    <row r="52" spans="1:20" x14ac:dyDescent="0.35">
      <c r="C52" t="s">
        <v>147</v>
      </c>
      <c r="D52">
        <f>$Q$1</f>
        <v>7</v>
      </c>
      <c r="M52" t="s">
        <v>151</v>
      </c>
      <c r="N52" s="12">
        <f ca="1">L53</f>
        <v>0.68600000000000005</v>
      </c>
    </row>
    <row r="53" spans="1:20" x14ac:dyDescent="0.35">
      <c r="C53" t="s">
        <v>151</v>
      </c>
      <c r="D53" s="12">
        <f>B54</f>
        <v>0.66900000000000004</v>
      </c>
      <c r="K53">
        <f ca="1">J48</f>
        <v>1</v>
      </c>
      <c r="L53" s="12">
        <f ca="1">INDEX( seedperc, K54+1,K53+2)</f>
        <v>0.68600000000000005</v>
      </c>
    </row>
    <row r="54" spans="1:20" x14ac:dyDescent="0.35">
      <c r="A54">
        <v>5</v>
      </c>
      <c r="B54" s="12">
        <f>INDEX( seedperc, A55+1,A54+2)</f>
        <v>0.66900000000000004</v>
      </c>
      <c r="K54">
        <f ca="1">J58</f>
        <v>4</v>
      </c>
      <c r="L54" s="12">
        <f ca="1">1-L53</f>
        <v>0.31399999999999995</v>
      </c>
      <c r="N54">
        <f ca="1">_xlfn.BINOM.INV(N51,N52,RAND())</f>
        <v>5</v>
      </c>
      <c r="O54" s="2">
        <f ca="1">IF(N54&gt;=$Q$2, K53, K54)</f>
        <v>1</v>
      </c>
    </row>
    <row r="55" spans="1:20" x14ac:dyDescent="0.35">
      <c r="A55">
        <v>12</v>
      </c>
      <c r="B55" s="12">
        <f>1-B54</f>
        <v>0.33099999999999996</v>
      </c>
      <c r="D55">
        <f ca="1">_xlfn.BINOM.INV(D52,D53,RAND())</f>
        <v>5</v>
      </c>
      <c r="E55" s="2">
        <f ca="1">IF(D55&gt;=$Q$2, A54, A55)</f>
        <v>5</v>
      </c>
      <c r="H55" t="s">
        <v>147</v>
      </c>
      <c r="I55">
        <f>$Q$1</f>
        <v>7</v>
      </c>
    </row>
    <row r="56" spans="1:20" x14ac:dyDescent="0.35">
      <c r="H56" t="s">
        <v>151</v>
      </c>
      <c r="I56" s="12">
        <f ca="1">G57</f>
        <v>0.44900000000000001</v>
      </c>
    </row>
    <row r="57" spans="1:20" x14ac:dyDescent="0.35">
      <c r="C57" t="s">
        <v>147</v>
      </c>
      <c r="D57">
        <f>$Q$1</f>
        <v>7</v>
      </c>
      <c r="F57">
        <f ca="1">E55</f>
        <v>5</v>
      </c>
      <c r="G57" s="12">
        <f ca="1">INDEX( seedperc, F58+1,F57+2)</f>
        <v>0.44900000000000001</v>
      </c>
    </row>
    <row r="58" spans="1:20" x14ac:dyDescent="0.35">
      <c r="C58" t="s">
        <v>151</v>
      </c>
      <c r="D58" s="12">
        <f>B59</f>
        <v>0.80300000000000005</v>
      </c>
      <c r="F58">
        <f ca="1">E60</f>
        <v>4</v>
      </c>
      <c r="G58" s="12">
        <f ca="1">1-G57</f>
        <v>0.55099999999999993</v>
      </c>
      <c r="I58">
        <f ca="1">_xlfn.BINOM.INV(I55,I56,RAND())</f>
        <v>1</v>
      </c>
      <c r="J58" s="2">
        <f ca="1">IF(I58&gt;=$Q$2, F57, F58)</f>
        <v>4</v>
      </c>
    </row>
    <row r="59" spans="1:20" x14ac:dyDescent="0.35">
      <c r="A59">
        <v>4</v>
      </c>
      <c r="B59" s="12">
        <f>INDEX( seedperc, A60+1,A59+2)</f>
        <v>0.80300000000000005</v>
      </c>
    </row>
    <row r="60" spans="1:20" x14ac:dyDescent="0.35">
      <c r="A60">
        <v>13</v>
      </c>
      <c r="B60" s="12">
        <f>1-B59</f>
        <v>0.19699999999999995</v>
      </c>
      <c r="D60">
        <f ca="1">_xlfn.BINOM.INV(D57,D58,RAND())</f>
        <v>4</v>
      </c>
      <c r="E60" s="2">
        <f ca="1">IF(D60&gt;=$Q$2, A59, A60)</f>
        <v>4</v>
      </c>
    </row>
    <row r="62" spans="1:20" x14ac:dyDescent="0.35">
      <c r="C62" t="s">
        <v>147</v>
      </c>
      <c r="D62">
        <f>$Q$1</f>
        <v>7</v>
      </c>
      <c r="S62" t="s">
        <v>147</v>
      </c>
      <c r="T62">
        <f>$Q$1</f>
        <v>7</v>
      </c>
    </row>
    <row r="63" spans="1:20" x14ac:dyDescent="0.35">
      <c r="C63" t="s">
        <v>151</v>
      </c>
      <c r="D63" s="12">
        <f>B64</f>
        <v>0.64900000000000002</v>
      </c>
      <c r="S63" t="s">
        <v>151</v>
      </c>
      <c r="T63" s="12">
        <f ca="1">R64</f>
        <v>0.53500000000000003</v>
      </c>
    </row>
    <row r="64" spans="1:20" x14ac:dyDescent="0.35">
      <c r="A64">
        <v>6</v>
      </c>
      <c r="B64" s="12">
        <f>INDEX( seedperc, A65+1,A64+2)</f>
        <v>0.64900000000000002</v>
      </c>
      <c r="Q64">
        <f ca="1">O54</f>
        <v>1</v>
      </c>
      <c r="R64" s="12">
        <f ca="1">INDEX( seedperc, Q65+1,Q64+2)</f>
        <v>0.53500000000000003</v>
      </c>
    </row>
    <row r="65" spans="1:22" x14ac:dyDescent="0.35">
      <c r="A65">
        <v>11</v>
      </c>
      <c r="B65" s="12">
        <f>1-B64</f>
        <v>0.35099999999999998</v>
      </c>
      <c r="D65">
        <f ca="1">_xlfn.BINOM.INV(D62,D63,RAND())</f>
        <v>4</v>
      </c>
      <c r="E65" s="2">
        <f ca="1">IF(D65&gt;=$Q$2, A64, A65)</f>
        <v>6</v>
      </c>
      <c r="H65" t="s">
        <v>147</v>
      </c>
      <c r="I65">
        <f>$Q$1</f>
        <v>7</v>
      </c>
      <c r="Q65">
        <f ca="1">O74</f>
        <v>2</v>
      </c>
      <c r="R65" s="12">
        <f ca="1">1-R64</f>
        <v>0.46499999999999997</v>
      </c>
      <c r="T65">
        <f ca="1">_xlfn.BINOM.INV(T62,T63,RAND())</f>
        <v>5</v>
      </c>
      <c r="U65" s="2">
        <f ca="1">IF(T65&gt;=$Q$2, Q64, Q65)</f>
        <v>1</v>
      </c>
    </row>
    <row r="66" spans="1:22" x14ac:dyDescent="0.35">
      <c r="H66" t="s">
        <v>151</v>
      </c>
      <c r="I66" s="12">
        <f ca="1">G67</f>
        <v>0.45200000000000001</v>
      </c>
    </row>
    <row r="67" spans="1:22" x14ac:dyDescent="0.35">
      <c r="C67" t="s">
        <v>147</v>
      </c>
      <c r="D67">
        <f>$Q$1</f>
        <v>7</v>
      </c>
      <c r="F67">
        <f ca="1">E65</f>
        <v>6</v>
      </c>
      <c r="G67" s="12">
        <f ca="1">INDEX( seedperc, F68+1,F67+2)</f>
        <v>0.45200000000000001</v>
      </c>
    </row>
    <row r="68" spans="1:22" x14ac:dyDescent="0.35">
      <c r="C68" t="s">
        <v>151</v>
      </c>
      <c r="D68" s="12">
        <f>B69</f>
        <v>0.83599999999999997</v>
      </c>
      <c r="F68">
        <f ca="1">E70</f>
        <v>3</v>
      </c>
      <c r="G68" s="12">
        <f ca="1">1-G67</f>
        <v>0.54800000000000004</v>
      </c>
      <c r="I68">
        <f ca="1">_xlfn.BINOM.INV(I65,I66,RAND())</f>
        <v>2</v>
      </c>
      <c r="J68" s="2">
        <f ca="1">IF(I68&gt;=$Q$2, F67, F68)</f>
        <v>3</v>
      </c>
    </row>
    <row r="69" spans="1:22" x14ac:dyDescent="0.35">
      <c r="A69">
        <v>3</v>
      </c>
      <c r="B69" s="12">
        <f>INDEX( seedperc, A70+1,A69+2)</f>
        <v>0.83599999999999997</v>
      </c>
    </row>
    <row r="70" spans="1:22" x14ac:dyDescent="0.35">
      <c r="A70">
        <v>14</v>
      </c>
      <c r="B70" s="12">
        <f>1-B69</f>
        <v>0.16400000000000003</v>
      </c>
      <c r="D70">
        <f ca="1">_xlfn.BINOM.INV(D67,D68,RAND())</f>
        <v>6</v>
      </c>
      <c r="E70" s="2">
        <f ca="1">IF(D70&gt;=$Q$2, A69, A70)</f>
        <v>3</v>
      </c>
      <c r="U70" t="s">
        <v>155</v>
      </c>
    </row>
    <row r="71" spans="1:22" x14ac:dyDescent="0.35">
      <c r="M71" t="s">
        <v>147</v>
      </c>
      <c r="N71">
        <f>$Q$1</f>
        <v>7</v>
      </c>
      <c r="U71">
        <v>1000</v>
      </c>
    </row>
    <row r="72" spans="1:22" x14ac:dyDescent="0.35">
      <c r="C72" t="s">
        <v>147</v>
      </c>
      <c r="D72">
        <f>$Q$1</f>
        <v>7</v>
      </c>
      <c r="M72" t="s">
        <v>151</v>
      </c>
      <c r="N72" s="12">
        <f ca="1">L73</f>
        <v>0.38300000000000001</v>
      </c>
    </row>
    <row r="73" spans="1:22" x14ac:dyDescent="0.35">
      <c r="C73" t="s">
        <v>151</v>
      </c>
      <c r="D73" s="12">
        <f>B74</f>
        <v>0.60499999999999998</v>
      </c>
      <c r="K73">
        <f ca="1">J68</f>
        <v>3</v>
      </c>
      <c r="L73" s="12">
        <f ca="1">INDEX( seedperc, K74+1,K73+2)</f>
        <v>0.38300000000000001</v>
      </c>
      <c r="S73" t="s">
        <v>156</v>
      </c>
      <c r="T73" t="s">
        <v>157</v>
      </c>
      <c r="U73" t="s">
        <v>158</v>
      </c>
      <c r="V73" t="s">
        <v>159</v>
      </c>
    </row>
    <row r="74" spans="1:22" x14ac:dyDescent="0.35">
      <c r="A74">
        <v>7</v>
      </c>
      <c r="B74" s="12">
        <f>INDEX( seedperc, A75+1,A74+2)</f>
        <v>0.60499999999999998</v>
      </c>
      <c r="K74">
        <f ca="1">J78</f>
        <v>2</v>
      </c>
      <c r="L74" s="12">
        <f ca="1">1-L73</f>
        <v>0.61699999999999999</v>
      </c>
      <c r="N74">
        <f ca="1">_xlfn.BINOM.INV(N71,N72,RAND())</f>
        <v>2</v>
      </c>
      <c r="O74" s="2">
        <f ca="1">IF(N74&gt;=$Q$2, K73, K74)</f>
        <v>2</v>
      </c>
      <c r="S74">
        <v>1</v>
      </c>
      <c r="T74">
        <f ca="1">COUNTIF(F:F,"="&amp;S74)+COUNTIF(K:K,"="&amp;S74)+COUNTIF(Q:Q,"="&amp;S74)+COUNTIF(W:W,"="&amp;S74)</f>
        <v>15</v>
      </c>
      <c r="U74">
        <v>13775</v>
      </c>
      <c r="V74">
        <f>U74/$U$71/4</f>
        <v>3.4437500000000001</v>
      </c>
    </row>
    <row r="75" spans="1:22" x14ac:dyDescent="0.35">
      <c r="A75">
        <v>10</v>
      </c>
      <c r="B75" s="12">
        <f>1-B74</f>
        <v>0.39500000000000002</v>
      </c>
      <c r="D75">
        <f ca="1">_xlfn.BINOM.INV(D72,D73,RAND())</f>
        <v>6</v>
      </c>
      <c r="E75" s="2">
        <f ca="1">IF(D75&gt;=$Q$2, A74, A75)</f>
        <v>7</v>
      </c>
      <c r="H75" t="s">
        <v>147</v>
      </c>
      <c r="I75">
        <f>$Q$1</f>
        <v>7</v>
      </c>
      <c r="S75">
        <f>S74+1</f>
        <v>2</v>
      </c>
      <c r="T75">
        <f t="shared" ref="T75:T89" ca="1" si="0">COUNTIF(F:F,"="&amp;S75)+COUNTIF(K:K,"="&amp;S75)+COUNTIF(Q:Q,"="&amp;S75)+COUNTIF(W:W,"="&amp;S75)</f>
        <v>11</v>
      </c>
      <c r="U75">
        <v>11193</v>
      </c>
      <c r="V75">
        <f t="shared" ref="V75:V89" si="1">U75/$U$71/4</f>
        <v>2.7982499999999999</v>
      </c>
    </row>
    <row r="76" spans="1:22" x14ac:dyDescent="0.35">
      <c r="H76" t="s">
        <v>151</v>
      </c>
      <c r="I76" s="12">
        <f ca="1">G77</f>
        <v>0.27800000000000002</v>
      </c>
      <c r="S76">
        <f t="shared" ref="S76:S89" si="2">S75+1</f>
        <v>3</v>
      </c>
      <c r="T76">
        <f t="shared" ca="1" si="0"/>
        <v>9</v>
      </c>
      <c r="U76">
        <v>7714</v>
      </c>
      <c r="V76">
        <f t="shared" si="1"/>
        <v>1.9285000000000001</v>
      </c>
    </row>
    <row r="77" spans="1:22" x14ac:dyDescent="0.35">
      <c r="C77" t="s">
        <v>147</v>
      </c>
      <c r="D77">
        <f>$Q$1</f>
        <v>7</v>
      </c>
      <c r="F77">
        <f ca="1">E75</f>
        <v>7</v>
      </c>
      <c r="G77" s="12">
        <f ca="1">INDEX( seedperc, F78+1,F77+2)</f>
        <v>0.27800000000000002</v>
      </c>
      <c r="S77">
        <f t="shared" si="2"/>
        <v>4</v>
      </c>
      <c r="T77">
        <f t="shared" ca="1" si="0"/>
        <v>8</v>
      </c>
      <c r="U77">
        <v>8016</v>
      </c>
      <c r="V77">
        <f t="shared" si="1"/>
        <v>2.004</v>
      </c>
    </row>
    <row r="78" spans="1:22" x14ac:dyDescent="0.35">
      <c r="C78" t="s">
        <v>151</v>
      </c>
      <c r="D78" s="12">
        <f>B79</f>
        <v>0.93</v>
      </c>
      <c r="F78">
        <f ca="1">E80</f>
        <v>2</v>
      </c>
      <c r="G78" s="12">
        <f ca="1">1-G77</f>
        <v>0.72199999999999998</v>
      </c>
      <c r="I78">
        <f ca="1">_xlfn.BINOM.INV(I75,I76,RAND())</f>
        <v>3</v>
      </c>
      <c r="J78" s="2">
        <f ca="1">IF(I78&gt;=$Q$2, F77, F78)</f>
        <v>2</v>
      </c>
      <c r="S78">
        <f t="shared" si="2"/>
        <v>5</v>
      </c>
      <c r="T78">
        <f t="shared" ca="1" si="0"/>
        <v>5</v>
      </c>
      <c r="U78">
        <v>4645</v>
      </c>
      <c r="V78">
        <f t="shared" si="1"/>
        <v>1.1612499999999999</v>
      </c>
    </row>
    <row r="79" spans="1:22" x14ac:dyDescent="0.35">
      <c r="A79">
        <v>2</v>
      </c>
      <c r="B79" s="12">
        <f>INDEX( seedperc, A80+1,A79+2)</f>
        <v>0.93</v>
      </c>
      <c r="S79">
        <f t="shared" si="2"/>
        <v>6</v>
      </c>
      <c r="T79">
        <f t="shared" ca="1" si="0"/>
        <v>4</v>
      </c>
      <c r="U79">
        <v>4812</v>
      </c>
      <c r="V79">
        <f t="shared" si="1"/>
        <v>1.2030000000000001</v>
      </c>
    </row>
    <row r="80" spans="1:22" x14ac:dyDescent="0.35">
      <c r="A80">
        <v>15</v>
      </c>
      <c r="B80" s="12">
        <f>1-B79</f>
        <v>6.9999999999999951E-2</v>
      </c>
      <c r="D80">
        <f ca="1">_xlfn.BINOM.INV(D77,D78,RAND())</f>
        <v>7</v>
      </c>
      <c r="E80" s="2">
        <f ca="1">IF(D80&gt;=$Q$2, A79, A80)</f>
        <v>2</v>
      </c>
      <c r="S80">
        <f t="shared" si="2"/>
        <v>7</v>
      </c>
      <c r="T80">
        <f t="shared" ca="1" si="0"/>
        <v>4</v>
      </c>
      <c r="U80">
        <v>4204</v>
      </c>
      <c r="V80">
        <f t="shared" si="1"/>
        <v>1.0509999999999999</v>
      </c>
    </row>
    <row r="81" spans="1:37" x14ac:dyDescent="0.35">
      <c r="S81">
        <f t="shared" si="2"/>
        <v>8</v>
      </c>
      <c r="T81">
        <f t="shared" ca="1" si="0"/>
        <v>3</v>
      </c>
      <c r="U81">
        <v>2330</v>
      </c>
      <c r="V81">
        <f t="shared" si="1"/>
        <v>0.58250000000000002</v>
      </c>
    </row>
    <row r="82" spans="1:37" x14ac:dyDescent="0.35">
      <c r="C82" t="s">
        <v>147</v>
      </c>
      <c r="D82">
        <f>$Q$1</f>
        <v>7</v>
      </c>
      <c r="K82" t="s">
        <v>148</v>
      </c>
      <c r="S82">
        <f t="shared" si="2"/>
        <v>9</v>
      </c>
      <c r="T82">
        <f t="shared" ca="1" si="0"/>
        <v>1</v>
      </c>
      <c r="U82">
        <v>1808</v>
      </c>
      <c r="V82">
        <f t="shared" si="1"/>
        <v>0.45200000000000001</v>
      </c>
    </row>
    <row r="83" spans="1:37" x14ac:dyDescent="0.35">
      <c r="C83" t="s">
        <v>151</v>
      </c>
      <c r="D83" s="12">
        <f>B84</f>
        <v>0.99999899999999997</v>
      </c>
      <c r="K83" t="s">
        <v>148</v>
      </c>
      <c r="S83">
        <f t="shared" si="2"/>
        <v>10</v>
      </c>
      <c r="T83">
        <f t="shared" ca="1" si="0"/>
        <v>1</v>
      </c>
      <c r="U83">
        <v>1570</v>
      </c>
      <c r="V83">
        <f t="shared" si="1"/>
        <v>0.39250000000000002</v>
      </c>
      <c r="AE83" t="s">
        <v>147</v>
      </c>
      <c r="AF83">
        <f>$Q$1</f>
        <v>7</v>
      </c>
    </row>
    <row r="84" spans="1:37" x14ac:dyDescent="0.35">
      <c r="A84">
        <v>1</v>
      </c>
      <c r="B84" s="12">
        <f>INDEX( seedperc, A85+1,A84+2)</f>
        <v>0.99999899999999997</v>
      </c>
      <c r="S84">
        <f t="shared" si="2"/>
        <v>11</v>
      </c>
      <c r="T84">
        <f t="shared" ca="1" si="0"/>
        <v>1</v>
      </c>
      <c r="U84">
        <v>927</v>
      </c>
      <c r="V84">
        <f t="shared" si="1"/>
        <v>0.23175000000000001</v>
      </c>
      <c r="AE84" t="s">
        <v>151</v>
      </c>
      <c r="AF84" s="12">
        <f ca="1">AD85</f>
        <v>0.5</v>
      </c>
    </row>
    <row r="85" spans="1:37" x14ac:dyDescent="0.35">
      <c r="A85">
        <v>16</v>
      </c>
      <c r="B85" s="12">
        <f>1-B84</f>
        <v>1.0000000000287557E-6</v>
      </c>
      <c r="D85">
        <f ca="1">_xlfn.BINOM.INV(D82,D83,RAND())</f>
        <v>7</v>
      </c>
      <c r="E85" s="2">
        <f ca="1">IF(D85&gt;=$Q$2, A84, A85)</f>
        <v>1</v>
      </c>
      <c r="H85" t="s">
        <v>147</v>
      </c>
      <c r="I85">
        <f>$Q$1</f>
        <v>7</v>
      </c>
      <c r="S85">
        <f t="shared" si="2"/>
        <v>12</v>
      </c>
      <c r="T85">
        <f t="shared" ca="1" si="0"/>
        <v>0</v>
      </c>
      <c r="U85">
        <v>821</v>
      </c>
      <c r="V85">
        <f t="shared" si="1"/>
        <v>0.20524999999999999</v>
      </c>
      <c r="AC85">
        <f ca="1">AA44</f>
        <v>1</v>
      </c>
      <c r="AD85" s="12">
        <f ca="1">INDEX( seedperc, AC86+1,AC85+2)</f>
        <v>0.5</v>
      </c>
    </row>
    <row r="86" spans="1:37" x14ac:dyDescent="0.35">
      <c r="H86" t="s">
        <v>151</v>
      </c>
      <c r="I86" s="12">
        <f ca="1">G87</f>
        <v>0.80500000000000005</v>
      </c>
      <c r="S86">
        <f t="shared" si="2"/>
        <v>13</v>
      </c>
      <c r="T86">
        <f t="shared" ca="1" si="0"/>
        <v>0</v>
      </c>
      <c r="U86">
        <v>110</v>
      </c>
      <c r="V86">
        <f t="shared" si="1"/>
        <v>2.75E-2</v>
      </c>
      <c r="AC86">
        <f ca="1">AA124</f>
        <v>1</v>
      </c>
      <c r="AD86" s="12">
        <f ca="1">1-AD85</f>
        <v>0.5</v>
      </c>
      <c r="AF86">
        <f ca="1">_xlfn.BINOM.INV(AF83,AF84,RAND())</f>
        <v>3</v>
      </c>
      <c r="AG86" s="2">
        <f ca="1">IF(AF86&gt;=$Q$2, AC85, AC86)</f>
        <v>1</v>
      </c>
    </row>
    <row r="87" spans="1:37" x14ac:dyDescent="0.35">
      <c r="C87" t="s">
        <v>147</v>
      </c>
      <c r="D87">
        <f>$Q$1</f>
        <v>7</v>
      </c>
      <c r="F87">
        <f ca="1">E85</f>
        <v>1</v>
      </c>
      <c r="G87" s="12">
        <f ca="1">INDEX( seedperc, F88+1,F87+2)</f>
        <v>0.80500000000000005</v>
      </c>
      <c r="S87">
        <f>S86+1</f>
        <v>14</v>
      </c>
      <c r="T87">
        <f t="shared" ca="1" si="0"/>
        <v>0</v>
      </c>
      <c r="U87">
        <v>74</v>
      </c>
      <c r="V87">
        <f t="shared" si="1"/>
        <v>1.8499999999999999E-2</v>
      </c>
      <c r="AF87" t="s">
        <v>160</v>
      </c>
      <c r="AG87">
        <v>1</v>
      </c>
      <c r="AH87">
        <v>3</v>
      </c>
      <c r="AI87">
        <v>5</v>
      </c>
      <c r="AJ87">
        <v>7</v>
      </c>
    </row>
    <row r="88" spans="1:37" x14ac:dyDescent="0.35">
      <c r="C88" t="s">
        <v>151</v>
      </c>
      <c r="D88" s="12">
        <f>B89</f>
        <v>0.52600000000000002</v>
      </c>
      <c r="F88">
        <f ca="1">E90</f>
        <v>8</v>
      </c>
      <c r="G88" s="12">
        <f ca="1">1-G87</f>
        <v>0.19499999999999995</v>
      </c>
      <c r="I88">
        <f ca="1">_xlfn.BINOM.INV(I85,I86,RAND())</f>
        <v>6</v>
      </c>
      <c r="J88" s="2">
        <f ca="1">IF(I88&gt;=$Q$2, F87, F88)</f>
        <v>1</v>
      </c>
      <c r="S88">
        <f t="shared" si="2"/>
        <v>15</v>
      </c>
      <c r="T88">
        <f t="shared" ca="1" si="0"/>
        <v>0</v>
      </c>
      <c r="U88">
        <v>1</v>
      </c>
      <c r="V88">
        <f t="shared" si="1"/>
        <v>2.5000000000000001E-4</v>
      </c>
      <c r="AF88">
        <v>1</v>
      </c>
      <c r="AG88">
        <v>0.52100000000000002</v>
      </c>
      <c r="AH88">
        <v>0.64600000000000002</v>
      </c>
      <c r="AI88" s="13">
        <v>0.67800000000000005</v>
      </c>
      <c r="AJ88">
        <v>0.70099999999999996</v>
      </c>
      <c r="AK88" s="14"/>
    </row>
    <row r="89" spans="1:37" x14ac:dyDescent="0.35">
      <c r="A89">
        <v>8</v>
      </c>
      <c r="B89" s="12">
        <f>IF(INDEX(seedperc,A90+1,A89+2)=1,0.999999,INDEX(seedperc,A90+1,A89+2))</f>
        <v>0.52600000000000002</v>
      </c>
      <c r="S89">
        <f t="shared" si="2"/>
        <v>16</v>
      </c>
      <c r="T89">
        <f t="shared" ca="1" si="0"/>
        <v>0</v>
      </c>
      <c r="U89">
        <v>0</v>
      </c>
      <c r="V89">
        <f t="shared" si="1"/>
        <v>0</v>
      </c>
      <c r="AE89" s="15"/>
      <c r="AF89">
        <f>AF88+1</f>
        <v>2</v>
      </c>
      <c r="AG89">
        <v>0.21299999999999999</v>
      </c>
      <c r="AH89">
        <v>0.221</v>
      </c>
      <c r="AI89">
        <v>0.23799999999999999</v>
      </c>
      <c r="AJ89">
        <v>0.245</v>
      </c>
      <c r="AK89" s="14"/>
    </row>
    <row r="90" spans="1:37" x14ac:dyDescent="0.35">
      <c r="A90">
        <v>9</v>
      </c>
      <c r="B90" s="12">
        <f>1-B89</f>
        <v>0.47399999999999998</v>
      </c>
      <c r="D90">
        <f ca="1">_xlfn.BINOM.INV(D87,D88,RAND())</f>
        <v>4</v>
      </c>
      <c r="E90" s="2">
        <f ca="1">IF(D90&gt;=$Q$2, A89, A90)</f>
        <v>8</v>
      </c>
      <c r="AF90">
        <f t="shared" ref="AF90:AF103" si="3">AF89+1</f>
        <v>3</v>
      </c>
      <c r="AG90">
        <v>9.9000000000000005E-2</v>
      </c>
      <c r="AH90">
        <v>6.4000000000000001E-2</v>
      </c>
      <c r="AI90">
        <v>0.05</v>
      </c>
      <c r="AJ90">
        <v>0.03</v>
      </c>
      <c r="AK90" s="14"/>
    </row>
    <row r="91" spans="1:37" x14ac:dyDescent="0.35">
      <c r="M91" t="s">
        <v>147</v>
      </c>
      <c r="N91">
        <f>$Q$1</f>
        <v>7</v>
      </c>
      <c r="AF91">
        <f t="shared" si="3"/>
        <v>4</v>
      </c>
      <c r="AG91">
        <v>5.5E-2</v>
      </c>
      <c r="AH91">
        <v>3.4000000000000002E-2</v>
      </c>
      <c r="AI91">
        <v>2.1000000000000001E-2</v>
      </c>
      <c r="AJ91">
        <v>1.7000000000000001E-2</v>
      </c>
      <c r="AK91" s="14"/>
    </row>
    <row r="92" spans="1:37" x14ac:dyDescent="0.35">
      <c r="C92" t="s">
        <v>147</v>
      </c>
      <c r="D92">
        <f>$Q$1</f>
        <v>7</v>
      </c>
      <c r="M92" t="s">
        <v>151</v>
      </c>
      <c r="N92" s="12">
        <f ca="1">L93</f>
        <v>0.84</v>
      </c>
      <c r="AF92">
        <f t="shared" si="3"/>
        <v>5</v>
      </c>
      <c r="AG92">
        <v>3.5999999999999997E-2</v>
      </c>
      <c r="AH92">
        <v>1.2999999999999999E-2</v>
      </c>
      <c r="AI92">
        <v>6.0000000000000001E-3</v>
      </c>
      <c r="AJ92">
        <v>0</v>
      </c>
      <c r="AK92" s="14"/>
    </row>
    <row r="93" spans="1:37" x14ac:dyDescent="0.35">
      <c r="C93" t="s">
        <v>151</v>
      </c>
      <c r="D93" s="12">
        <f>B94</f>
        <v>0.66900000000000004</v>
      </c>
      <c r="K93">
        <f ca="1">J88</f>
        <v>1</v>
      </c>
      <c r="L93" s="12">
        <f ca="1">INDEX( seedperc, K94+1,K93+2)</f>
        <v>0.84</v>
      </c>
      <c r="AF93">
        <f t="shared" si="3"/>
        <v>6</v>
      </c>
      <c r="AG93">
        <v>2.5999999999999999E-2</v>
      </c>
      <c r="AH93">
        <v>7.0000000000000001E-3</v>
      </c>
      <c r="AI93">
        <v>5.0000000000000001E-3</v>
      </c>
      <c r="AJ93">
        <v>4.0000000000000001E-3</v>
      </c>
      <c r="AK93" s="14"/>
    </row>
    <row r="94" spans="1:37" x14ac:dyDescent="0.35">
      <c r="A94">
        <v>5</v>
      </c>
      <c r="B94" s="12">
        <f>INDEX( seedperc, A95+1,A94+2)</f>
        <v>0.66900000000000004</v>
      </c>
      <c r="K94">
        <f ca="1">J98</f>
        <v>5</v>
      </c>
      <c r="L94" s="12">
        <f ca="1">1-L93</f>
        <v>0.16000000000000003</v>
      </c>
      <c r="N94">
        <f ca="1">_xlfn.BINOM.INV(N91,N92,RAND())</f>
        <v>7</v>
      </c>
      <c r="O94" s="2">
        <f ca="1">IF(N94&gt;=$Q$2, K93, K94)</f>
        <v>1</v>
      </c>
      <c r="AF94">
        <f t="shared" si="3"/>
        <v>7</v>
      </c>
      <c r="AG94">
        <v>8.9999999999999993E-3</v>
      </c>
      <c r="AH94">
        <v>1E-3</v>
      </c>
      <c r="AI94">
        <v>0</v>
      </c>
      <c r="AJ94">
        <v>0</v>
      </c>
      <c r="AK94" s="14"/>
    </row>
    <row r="95" spans="1:37" x14ac:dyDescent="0.35">
      <c r="A95">
        <v>12</v>
      </c>
      <c r="B95" s="12">
        <f>1-B94</f>
        <v>0.33099999999999996</v>
      </c>
      <c r="D95">
        <f ca="1">_xlfn.BINOM.INV(D92,D93,RAND())</f>
        <v>5</v>
      </c>
      <c r="E95" s="2">
        <f ca="1">IF(D95&gt;=$Q$2, A94, A95)</f>
        <v>5</v>
      </c>
      <c r="H95" t="s">
        <v>147</v>
      </c>
      <c r="I95">
        <f>$Q$1</f>
        <v>7</v>
      </c>
      <c r="AE95" t="s">
        <v>161</v>
      </c>
      <c r="AF95">
        <f t="shared" si="3"/>
        <v>8</v>
      </c>
      <c r="AG95">
        <v>7.0000000000000001E-3</v>
      </c>
      <c r="AH95">
        <v>4.0000000000000001E-3</v>
      </c>
      <c r="AI95">
        <v>1E-3</v>
      </c>
      <c r="AJ95">
        <v>2E-3</v>
      </c>
      <c r="AK95" s="14"/>
    </row>
    <row r="96" spans="1:37" x14ac:dyDescent="0.35">
      <c r="H96" t="s">
        <v>151</v>
      </c>
      <c r="I96" s="12">
        <f ca="1">G97</f>
        <v>0.44900000000000001</v>
      </c>
      <c r="AF96">
        <f t="shared" si="3"/>
        <v>9</v>
      </c>
      <c r="AG96">
        <v>3.0000000000000001E-3</v>
      </c>
      <c r="AH96">
        <v>0</v>
      </c>
      <c r="AI96">
        <v>0</v>
      </c>
      <c r="AJ96">
        <v>0</v>
      </c>
      <c r="AK96" s="14"/>
    </row>
    <row r="97" spans="1:37" x14ac:dyDescent="0.35">
      <c r="C97" t="s">
        <v>147</v>
      </c>
      <c r="D97">
        <f>$Q$1</f>
        <v>7</v>
      </c>
      <c r="F97">
        <f ca="1">E95</f>
        <v>5</v>
      </c>
      <c r="G97" s="12">
        <f ca="1">INDEX( seedperc, F98+1,F97+2)</f>
        <v>0.44900000000000001</v>
      </c>
      <c r="AF97">
        <f t="shared" si="3"/>
        <v>10</v>
      </c>
      <c r="AG97">
        <v>2E-3</v>
      </c>
      <c r="AH97">
        <v>0</v>
      </c>
      <c r="AI97">
        <v>0</v>
      </c>
      <c r="AJ97">
        <v>0</v>
      </c>
      <c r="AK97" s="14"/>
    </row>
    <row r="98" spans="1:37" x14ac:dyDescent="0.35">
      <c r="C98" t="s">
        <v>151</v>
      </c>
      <c r="D98" s="12">
        <f>B99</f>
        <v>0.80300000000000005</v>
      </c>
      <c r="F98">
        <f ca="1">E100</f>
        <v>4</v>
      </c>
      <c r="G98" s="12">
        <f ca="1">1-G97</f>
        <v>0.55099999999999993</v>
      </c>
      <c r="I98">
        <f ca="1">_xlfn.BINOM.INV(I95,I96,RAND())</f>
        <v>5</v>
      </c>
      <c r="J98" s="2">
        <f ca="1">IF(I98&gt;=$Q$2, F97, F98)</f>
        <v>5</v>
      </c>
      <c r="AF98">
        <f>AF97+1</f>
        <v>11</v>
      </c>
      <c r="AG98">
        <v>8.0000000000000002E-3</v>
      </c>
      <c r="AH98">
        <v>6.0000000000000001E-3</v>
      </c>
      <c r="AI98">
        <v>1E-3</v>
      </c>
      <c r="AJ98">
        <v>1E-3</v>
      </c>
      <c r="AK98" s="14"/>
    </row>
    <row r="99" spans="1:37" x14ac:dyDescent="0.35">
      <c r="A99">
        <v>4</v>
      </c>
      <c r="B99" s="12">
        <f>INDEX( seedperc, A100+1,A99+2)</f>
        <v>0.80300000000000005</v>
      </c>
      <c r="AF99">
        <f t="shared" si="3"/>
        <v>12</v>
      </c>
      <c r="AG99">
        <v>0</v>
      </c>
      <c r="AH99">
        <v>0</v>
      </c>
      <c r="AI99">
        <v>0</v>
      </c>
      <c r="AJ99">
        <v>0</v>
      </c>
      <c r="AK99" s="14"/>
    </row>
    <row r="100" spans="1:37" x14ac:dyDescent="0.35">
      <c r="A100">
        <v>13</v>
      </c>
      <c r="B100" s="12">
        <f>1-B99</f>
        <v>0.19699999999999995</v>
      </c>
      <c r="D100">
        <f ca="1">_xlfn.BINOM.INV(D97,D98,RAND())</f>
        <v>5</v>
      </c>
      <c r="E100" s="2">
        <f ca="1">IF(D100&gt;=$Q$2, A99, A100)</f>
        <v>4</v>
      </c>
      <c r="AF100">
        <f t="shared" si="3"/>
        <v>13</v>
      </c>
      <c r="AG100">
        <v>0</v>
      </c>
      <c r="AH100">
        <v>0</v>
      </c>
      <c r="AI100">
        <v>0</v>
      </c>
      <c r="AJ100">
        <v>0</v>
      </c>
      <c r="AK100" s="14"/>
    </row>
    <row r="101" spans="1:37" x14ac:dyDescent="0.35">
      <c r="S101" t="s">
        <v>147</v>
      </c>
      <c r="T101">
        <f>$Q$1</f>
        <v>7</v>
      </c>
      <c r="AF101">
        <f t="shared" si="3"/>
        <v>14</v>
      </c>
      <c r="AG101">
        <v>0</v>
      </c>
      <c r="AH101">
        <v>0</v>
      </c>
      <c r="AI101">
        <v>0</v>
      </c>
      <c r="AJ101">
        <v>0</v>
      </c>
      <c r="AK101" s="14"/>
    </row>
    <row r="102" spans="1:37" x14ac:dyDescent="0.35">
      <c r="C102" t="s">
        <v>147</v>
      </c>
      <c r="D102">
        <f>$Q$1</f>
        <v>7</v>
      </c>
      <c r="S102" t="s">
        <v>151</v>
      </c>
      <c r="T102" s="12">
        <f ca="1">R103</f>
        <v>0.60599999999999998</v>
      </c>
      <c r="AF102">
        <f t="shared" si="3"/>
        <v>15</v>
      </c>
      <c r="AG102">
        <v>2.1000000000000001E-2</v>
      </c>
      <c r="AH102">
        <v>4.0000000000000001E-3</v>
      </c>
      <c r="AI102">
        <v>0</v>
      </c>
      <c r="AJ102">
        <v>0</v>
      </c>
      <c r="AK102" s="14"/>
    </row>
    <row r="103" spans="1:37" x14ac:dyDescent="0.35">
      <c r="C103" t="s">
        <v>151</v>
      </c>
      <c r="D103" s="12">
        <f>B104</f>
        <v>0.64900000000000002</v>
      </c>
      <c r="Q103">
        <f ca="1">O94</f>
        <v>1</v>
      </c>
      <c r="R103" s="12">
        <f ca="1">INDEX( seedperc, Q104+1,Q103+2)</f>
        <v>0.60599999999999998</v>
      </c>
      <c r="AF103">
        <f t="shared" si="3"/>
        <v>16</v>
      </c>
      <c r="AG103">
        <v>0</v>
      </c>
      <c r="AH103">
        <v>0</v>
      </c>
      <c r="AI103">
        <v>0</v>
      </c>
      <c r="AJ103">
        <v>0</v>
      </c>
      <c r="AK103" s="14"/>
    </row>
    <row r="104" spans="1:37" x14ac:dyDescent="0.35">
      <c r="A104">
        <v>6</v>
      </c>
      <c r="B104" s="12">
        <f>INDEX( seedperc, A105+1,A104+2)</f>
        <v>0.64900000000000002</v>
      </c>
      <c r="Q104">
        <f ca="1">O114</f>
        <v>3</v>
      </c>
      <c r="R104" s="12">
        <f ca="1">1-R103</f>
        <v>0.39400000000000002</v>
      </c>
      <c r="T104">
        <f ca="1">_xlfn.BINOM.INV(T101,T102,RAND())</f>
        <v>6</v>
      </c>
      <c r="U104" s="2">
        <f ca="1">IF(T104&gt;=$Q$2, Q103, Q104)</f>
        <v>1</v>
      </c>
    </row>
    <row r="105" spans="1:37" x14ac:dyDescent="0.35">
      <c r="A105">
        <v>11</v>
      </c>
      <c r="B105" s="12">
        <f>1-B104</f>
        <v>0.35099999999999998</v>
      </c>
      <c r="D105">
        <f ca="1">_xlfn.BINOM.INV(D102,D103,RAND())</f>
        <v>3</v>
      </c>
      <c r="E105" s="2">
        <f ca="1">IF(D105&gt;=$Q$2, A104, A105)</f>
        <v>11</v>
      </c>
      <c r="H105" t="s">
        <v>147</v>
      </c>
      <c r="I105">
        <f>$Q$1</f>
        <v>7</v>
      </c>
    </row>
    <row r="106" spans="1:37" x14ac:dyDescent="0.35">
      <c r="H106" t="s">
        <v>151</v>
      </c>
      <c r="I106" s="12">
        <f ca="1">G107</f>
        <v>0.29199999999999998</v>
      </c>
    </row>
    <row r="107" spans="1:37" x14ac:dyDescent="0.35">
      <c r="C107" t="s">
        <v>147</v>
      </c>
      <c r="D107">
        <f>$Q$1</f>
        <v>7</v>
      </c>
      <c r="F107">
        <f ca="1">E105</f>
        <v>11</v>
      </c>
      <c r="G107" s="12">
        <f ca="1">INDEX( seedperc, F108+1,F107+2)</f>
        <v>0.29199999999999998</v>
      </c>
    </row>
    <row r="108" spans="1:37" x14ac:dyDescent="0.35">
      <c r="C108" t="s">
        <v>151</v>
      </c>
      <c r="D108" s="12">
        <f>B109</f>
        <v>0.83599999999999997</v>
      </c>
      <c r="F108">
        <f ca="1">E110</f>
        <v>3</v>
      </c>
      <c r="G108" s="12">
        <f ca="1">1-G107</f>
        <v>0.70799999999999996</v>
      </c>
      <c r="I108">
        <f ca="1">_xlfn.BINOM.INV(I105,I106,RAND())</f>
        <v>3</v>
      </c>
      <c r="J108" s="2">
        <f ca="1">IF(I108&gt;=$Q$2, F107, F108)</f>
        <v>3</v>
      </c>
    </row>
    <row r="109" spans="1:37" x14ac:dyDescent="0.35">
      <c r="A109">
        <v>3</v>
      </c>
      <c r="B109" s="12">
        <f>INDEX( seedperc, A110+1,A109+2)</f>
        <v>0.83599999999999997</v>
      </c>
    </row>
    <row r="110" spans="1:37" x14ac:dyDescent="0.35">
      <c r="A110">
        <v>14</v>
      </c>
      <c r="B110" s="12">
        <f>1-B109</f>
        <v>0.16400000000000003</v>
      </c>
      <c r="D110">
        <f ca="1">_xlfn.BINOM.INV(D107,D108,RAND())</f>
        <v>6</v>
      </c>
      <c r="E110" s="2">
        <f ca="1">IF(D110&gt;=$Q$2, A109, A110)</f>
        <v>3</v>
      </c>
    </row>
    <row r="111" spans="1:37" x14ac:dyDescent="0.35">
      <c r="M111" t="s">
        <v>147</v>
      </c>
      <c r="N111">
        <f>$Q$1</f>
        <v>7</v>
      </c>
    </row>
    <row r="112" spans="1:37" x14ac:dyDescent="0.35">
      <c r="C112" t="s">
        <v>147</v>
      </c>
      <c r="D112">
        <f>$Q$1</f>
        <v>7</v>
      </c>
      <c r="M112" t="s">
        <v>151</v>
      </c>
      <c r="N112" s="12">
        <f ca="1">L113</f>
        <v>0.38300000000000001</v>
      </c>
    </row>
    <row r="113" spans="1:27" x14ac:dyDescent="0.35">
      <c r="C113" t="s">
        <v>151</v>
      </c>
      <c r="D113" s="12">
        <f>B114</f>
        <v>0.60499999999999998</v>
      </c>
      <c r="K113">
        <f ca="1">J108</f>
        <v>3</v>
      </c>
      <c r="L113" s="12">
        <f ca="1">INDEX( seedperc, K114+1,K113+2)</f>
        <v>0.38300000000000001</v>
      </c>
    </row>
    <row r="114" spans="1:27" x14ac:dyDescent="0.35">
      <c r="A114">
        <v>7</v>
      </c>
      <c r="B114" s="12">
        <f>INDEX( seedperc, A115+1,A114+2)</f>
        <v>0.60499999999999998</v>
      </c>
      <c r="K114">
        <f ca="1">J118</f>
        <v>2</v>
      </c>
      <c r="L114" s="12">
        <f ca="1">1-L113</f>
        <v>0.61699999999999999</v>
      </c>
      <c r="N114">
        <f ca="1">_xlfn.BINOM.INV(N111,N112,RAND())</f>
        <v>4</v>
      </c>
      <c r="O114" s="2">
        <f ca="1">IF(N114&gt;=$Q$2, K113, K114)</f>
        <v>3</v>
      </c>
    </row>
    <row r="115" spans="1:27" x14ac:dyDescent="0.35">
      <c r="A115">
        <v>10</v>
      </c>
      <c r="B115" s="12">
        <f>1-B114</f>
        <v>0.39500000000000002</v>
      </c>
      <c r="D115">
        <f ca="1">_xlfn.BINOM.INV(D112,D113,RAND())</f>
        <v>2</v>
      </c>
      <c r="E115" s="2">
        <f ca="1">IF(D115&gt;=$Q$2, A114, A115)</f>
        <v>10</v>
      </c>
      <c r="H115" t="s">
        <v>147</v>
      </c>
      <c r="I115">
        <f>$Q$1</f>
        <v>7</v>
      </c>
    </row>
    <row r="116" spans="1:27" x14ac:dyDescent="0.35">
      <c r="H116" t="s">
        <v>151</v>
      </c>
      <c r="I116" s="12">
        <f ca="1">G117</f>
        <v>0.40699999999999997</v>
      </c>
    </row>
    <row r="117" spans="1:27" x14ac:dyDescent="0.35">
      <c r="C117" t="s">
        <v>147</v>
      </c>
      <c r="D117">
        <f>$Q$1</f>
        <v>7</v>
      </c>
      <c r="F117">
        <f ca="1">E115</f>
        <v>10</v>
      </c>
      <c r="G117" s="12">
        <f ca="1">INDEX( seedperc, F118+1,F117+2)</f>
        <v>0.40699999999999997</v>
      </c>
    </row>
    <row r="118" spans="1:27" x14ac:dyDescent="0.35">
      <c r="C118" t="s">
        <v>151</v>
      </c>
      <c r="D118" s="12">
        <f>B119</f>
        <v>0.93</v>
      </c>
      <c r="F118">
        <f ca="1">E120</f>
        <v>2</v>
      </c>
      <c r="G118" s="12">
        <f ca="1">1-G117</f>
        <v>0.59299999999999997</v>
      </c>
      <c r="I118">
        <f ca="1">_xlfn.BINOM.INV(I115,I116,RAND())</f>
        <v>1</v>
      </c>
      <c r="J118" s="2">
        <f ca="1">IF(I118&gt;=$Q$2, F117, F118)</f>
        <v>2</v>
      </c>
    </row>
    <row r="119" spans="1:27" x14ac:dyDescent="0.35">
      <c r="A119">
        <v>2</v>
      </c>
      <c r="B119" s="12">
        <f>INDEX( seedperc, A120+1,A119+2)</f>
        <v>0.93</v>
      </c>
    </row>
    <row r="120" spans="1:27" x14ac:dyDescent="0.35">
      <c r="A120">
        <v>15</v>
      </c>
      <c r="B120" s="12">
        <f>1-B119</f>
        <v>6.9999999999999951E-2</v>
      </c>
      <c r="D120">
        <f ca="1">_xlfn.BINOM.INV(D117,D118,RAND())</f>
        <v>4</v>
      </c>
      <c r="E120" s="2">
        <f ca="1">IF(D120&gt;=$Q$2, A119, A120)</f>
        <v>2</v>
      </c>
    </row>
    <row r="121" spans="1:27" x14ac:dyDescent="0.35">
      <c r="Y121" t="s">
        <v>147</v>
      </c>
      <c r="Z121">
        <f>$Q$1</f>
        <v>7</v>
      </c>
    </row>
    <row r="122" spans="1:27" x14ac:dyDescent="0.35">
      <c r="C122" t="s">
        <v>147</v>
      </c>
      <c r="D122">
        <f>$Q$1</f>
        <v>7</v>
      </c>
      <c r="K122" t="s">
        <v>148</v>
      </c>
      <c r="Y122" t="s">
        <v>151</v>
      </c>
      <c r="Z122" s="12">
        <f ca="1">X123</f>
        <v>0.5</v>
      </c>
    </row>
    <row r="123" spans="1:27" x14ac:dyDescent="0.35">
      <c r="C123" t="s">
        <v>151</v>
      </c>
      <c r="D123" s="12">
        <f>B124</f>
        <v>0.99999899999999997</v>
      </c>
      <c r="K123" t="s">
        <v>148</v>
      </c>
      <c r="W123">
        <f ca="1">U104</f>
        <v>1</v>
      </c>
      <c r="X123" s="12">
        <f ca="1">INDEX( seedperc, W124+1,W123+2)</f>
        <v>0.5</v>
      </c>
    </row>
    <row r="124" spans="1:27" x14ac:dyDescent="0.35">
      <c r="A124">
        <v>1</v>
      </c>
      <c r="B124" s="12">
        <f>INDEX( seedperc, A125+1,A124+2)</f>
        <v>0.99999899999999997</v>
      </c>
      <c r="W124">
        <f ca="1">U146</f>
        <v>1</v>
      </c>
      <c r="X124" s="12">
        <f ca="1">1-X123</f>
        <v>0.5</v>
      </c>
      <c r="Z124">
        <f ca="1">_xlfn.BINOM.INV(Z121,Z122,RAND())</f>
        <v>2</v>
      </c>
      <c r="AA124" s="2">
        <f ca="1">IF(Z124&gt;=$Q$2, W123, W124)</f>
        <v>1</v>
      </c>
    </row>
    <row r="125" spans="1:27" x14ac:dyDescent="0.35">
      <c r="A125">
        <v>16</v>
      </c>
      <c r="B125" s="12">
        <f>1-B124</f>
        <v>1.0000000000287557E-6</v>
      </c>
      <c r="D125">
        <f ca="1">_xlfn.BINOM.INV(D122,D123,RAND())</f>
        <v>7</v>
      </c>
      <c r="E125" s="2">
        <f ca="1">IF(D125&gt;=$Q$2, A124, A125)</f>
        <v>1</v>
      </c>
      <c r="H125" t="s">
        <v>147</v>
      </c>
      <c r="I125">
        <f>$Q$1</f>
        <v>7</v>
      </c>
    </row>
    <row r="126" spans="1:27" x14ac:dyDescent="0.35">
      <c r="H126" t="s">
        <v>151</v>
      </c>
      <c r="I126" s="12">
        <f ca="1">G127</f>
        <v>0.90400000000000003</v>
      </c>
    </row>
    <row r="127" spans="1:27" x14ac:dyDescent="0.35">
      <c r="C127" t="s">
        <v>147</v>
      </c>
      <c r="D127">
        <f>$Q$1</f>
        <v>7</v>
      </c>
      <c r="F127">
        <f ca="1">E125</f>
        <v>1</v>
      </c>
      <c r="G127" s="12">
        <f ca="1">INDEX( seedperc, F128+1,F127+2)</f>
        <v>0.90400000000000003</v>
      </c>
    </row>
    <row r="128" spans="1:27" x14ac:dyDescent="0.35">
      <c r="C128" t="s">
        <v>151</v>
      </c>
      <c r="D128" s="12">
        <f>B129</f>
        <v>0.52600000000000002</v>
      </c>
      <c r="F128">
        <f ca="1">E130</f>
        <v>9</v>
      </c>
      <c r="G128" s="12">
        <f ca="1">1-G127</f>
        <v>9.5999999999999974E-2</v>
      </c>
      <c r="I128">
        <f ca="1">_xlfn.BINOM.INV(I125,I126,RAND())</f>
        <v>6</v>
      </c>
      <c r="J128" s="2">
        <f ca="1">IF(I128&gt;=$Q$2, F127, F128)</f>
        <v>1</v>
      </c>
    </row>
    <row r="129" spans="1:20" x14ac:dyDescent="0.35">
      <c r="A129">
        <v>8</v>
      </c>
      <c r="B129" s="12">
        <f>INDEX( seedperc, A130+1,A129+2)</f>
        <v>0.52600000000000002</v>
      </c>
    </row>
    <row r="130" spans="1:20" x14ac:dyDescent="0.35">
      <c r="A130">
        <v>9</v>
      </c>
      <c r="B130" s="12">
        <f>1-B129</f>
        <v>0.47399999999999998</v>
      </c>
      <c r="D130">
        <f ca="1">_xlfn.BINOM.INV(D127,D128,RAND())</f>
        <v>2</v>
      </c>
      <c r="E130" s="2">
        <f ca="1">IF(D130&gt;=$Q$2, A129, A130)</f>
        <v>9</v>
      </c>
    </row>
    <row r="131" spans="1:20" x14ac:dyDescent="0.35">
      <c r="M131" t="s">
        <v>147</v>
      </c>
      <c r="N131">
        <f>$Q$1</f>
        <v>7</v>
      </c>
    </row>
    <row r="132" spans="1:20" x14ac:dyDescent="0.35">
      <c r="C132" t="s">
        <v>147</v>
      </c>
      <c r="D132">
        <f>$Q$1</f>
        <v>7</v>
      </c>
      <c r="M132" t="s">
        <v>151</v>
      </c>
      <c r="N132" s="12">
        <f ca="1">L133</f>
        <v>0.68600000000000005</v>
      </c>
    </row>
    <row r="133" spans="1:20" x14ac:dyDescent="0.35">
      <c r="C133" t="s">
        <v>151</v>
      </c>
      <c r="D133" s="12">
        <f>B134</f>
        <v>0.66900000000000004</v>
      </c>
      <c r="K133">
        <f ca="1">J128</f>
        <v>1</v>
      </c>
      <c r="L133" s="12">
        <f ca="1">INDEX( seedperc, K134+1,K133+2)</f>
        <v>0.68600000000000005</v>
      </c>
    </row>
    <row r="134" spans="1:20" x14ac:dyDescent="0.35">
      <c r="A134">
        <v>5</v>
      </c>
      <c r="B134" s="12">
        <f>INDEX( seedperc, A135+1,A134+2)</f>
        <v>0.66900000000000004</v>
      </c>
      <c r="K134">
        <f ca="1">J138</f>
        <v>4</v>
      </c>
      <c r="L134" s="12">
        <f ca="1">1-L133</f>
        <v>0.31399999999999995</v>
      </c>
      <c r="N134">
        <f ca="1">_xlfn.BINOM.INV(N131,N132,RAND())</f>
        <v>6</v>
      </c>
      <c r="O134" s="2">
        <f ca="1">IF(N134&gt;=$Q$2, K133, K134)</f>
        <v>1</v>
      </c>
    </row>
    <row r="135" spans="1:20" x14ac:dyDescent="0.35">
      <c r="A135">
        <v>12</v>
      </c>
      <c r="B135" s="12">
        <f>1-B134</f>
        <v>0.33099999999999996</v>
      </c>
      <c r="D135">
        <f ca="1">_xlfn.BINOM.INV(D132,D133,RAND())</f>
        <v>6</v>
      </c>
      <c r="E135" s="2">
        <f ca="1">IF(D135&gt;=$Q$2, A134, A135)</f>
        <v>5</v>
      </c>
      <c r="H135" t="s">
        <v>147</v>
      </c>
      <c r="I135">
        <f>$Q$1</f>
        <v>7</v>
      </c>
    </row>
    <row r="136" spans="1:20" x14ac:dyDescent="0.35">
      <c r="H136" t="s">
        <v>151</v>
      </c>
      <c r="I136" s="12">
        <f ca="1">G137</f>
        <v>0.44900000000000001</v>
      </c>
    </row>
    <row r="137" spans="1:20" x14ac:dyDescent="0.35">
      <c r="C137" t="s">
        <v>147</v>
      </c>
      <c r="D137">
        <f>$Q$1</f>
        <v>7</v>
      </c>
      <c r="F137">
        <f ca="1">E135</f>
        <v>5</v>
      </c>
      <c r="G137" s="12">
        <f ca="1">INDEX( seedperc, F138+1,F137+2)</f>
        <v>0.44900000000000001</v>
      </c>
    </row>
    <row r="138" spans="1:20" x14ac:dyDescent="0.35">
      <c r="C138" t="s">
        <v>151</v>
      </c>
      <c r="D138" s="12">
        <f>B139</f>
        <v>0.80300000000000005</v>
      </c>
      <c r="F138">
        <f ca="1">E140</f>
        <v>4</v>
      </c>
      <c r="G138" s="12">
        <f ca="1">1-G137</f>
        <v>0.55099999999999993</v>
      </c>
      <c r="I138">
        <f ca="1">_xlfn.BINOM.INV(I135,I136,RAND())</f>
        <v>2</v>
      </c>
      <c r="J138" s="2">
        <f ca="1">IF(I138&gt;=$Q$2, F137, F138)</f>
        <v>4</v>
      </c>
    </row>
    <row r="139" spans="1:20" x14ac:dyDescent="0.35">
      <c r="A139">
        <v>4</v>
      </c>
      <c r="B139" s="12">
        <f>INDEX( seedperc, A140+1,A139+2)</f>
        <v>0.80300000000000005</v>
      </c>
    </row>
    <row r="140" spans="1:20" x14ac:dyDescent="0.35">
      <c r="A140">
        <v>13</v>
      </c>
      <c r="B140" s="12">
        <f>1-B139</f>
        <v>0.19699999999999995</v>
      </c>
      <c r="D140">
        <f ca="1">_xlfn.BINOM.INV(D137,D138,RAND())</f>
        <v>7</v>
      </c>
      <c r="E140" s="2">
        <f ca="1">IF(D140&gt;=$Q$2, A139, A140)</f>
        <v>4</v>
      </c>
    </row>
    <row r="142" spans="1:20" x14ac:dyDescent="0.35">
      <c r="C142" t="s">
        <v>147</v>
      </c>
      <c r="D142">
        <f>$Q$1</f>
        <v>7</v>
      </c>
    </row>
    <row r="143" spans="1:20" x14ac:dyDescent="0.35">
      <c r="C143" t="s">
        <v>151</v>
      </c>
      <c r="D143" s="12">
        <f>B144</f>
        <v>0.64900000000000002</v>
      </c>
      <c r="S143" t="s">
        <v>147</v>
      </c>
      <c r="T143">
        <f>$Q$1</f>
        <v>7</v>
      </c>
    </row>
    <row r="144" spans="1:20" x14ac:dyDescent="0.35">
      <c r="A144">
        <v>6</v>
      </c>
      <c r="B144" s="12">
        <f>INDEX( seedperc, A145+1,A144+2)</f>
        <v>0.64900000000000002</v>
      </c>
      <c r="S144" t="s">
        <v>151</v>
      </c>
      <c r="T144" s="12">
        <f ca="1">R145</f>
        <v>0.60599999999999998</v>
      </c>
    </row>
    <row r="145" spans="1:21" x14ac:dyDescent="0.35">
      <c r="A145">
        <v>11</v>
      </c>
      <c r="B145" s="12">
        <f>1-B144</f>
        <v>0.35099999999999998</v>
      </c>
      <c r="D145">
        <f ca="1">_xlfn.BINOM.INV(D142,D143,RAND())</f>
        <v>4</v>
      </c>
      <c r="E145" s="2">
        <f ca="1">IF(D145&gt;=$Q$2, A144, A145)</f>
        <v>6</v>
      </c>
      <c r="H145" t="s">
        <v>147</v>
      </c>
      <c r="I145">
        <f>$Q$1</f>
        <v>7</v>
      </c>
      <c r="Q145">
        <f ca="1">O134</f>
        <v>1</v>
      </c>
      <c r="R145" s="12">
        <f ca="1">INDEX( seedperc, Q146+1,Q145+2)</f>
        <v>0.60599999999999998</v>
      </c>
    </row>
    <row r="146" spans="1:21" x14ac:dyDescent="0.35">
      <c r="H146" t="s">
        <v>151</v>
      </c>
      <c r="I146" s="12">
        <f ca="1">G147</f>
        <v>0.45200000000000001</v>
      </c>
      <c r="Q146">
        <f ca="1">O154</f>
        <v>3</v>
      </c>
      <c r="R146" s="12">
        <f ca="1">1-R145</f>
        <v>0.39400000000000002</v>
      </c>
      <c r="T146">
        <f ca="1">_xlfn.BINOM.INV(T143,T144,RAND())</f>
        <v>6</v>
      </c>
      <c r="U146" s="2">
        <f ca="1">IF(T146&gt;=$Q$2, Q145, Q146)</f>
        <v>1</v>
      </c>
    </row>
    <row r="147" spans="1:21" x14ac:dyDescent="0.35">
      <c r="C147" t="s">
        <v>147</v>
      </c>
      <c r="D147">
        <f>$Q$1</f>
        <v>7</v>
      </c>
      <c r="F147">
        <f ca="1">E145</f>
        <v>6</v>
      </c>
      <c r="G147" s="12">
        <f ca="1">INDEX( seedperc, F148+1,F147+2)</f>
        <v>0.45200000000000001</v>
      </c>
    </row>
    <row r="148" spans="1:21" x14ac:dyDescent="0.35">
      <c r="C148" t="s">
        <v>151</v>
      </c>
      <c r="D148" s="12">
        <f>B149</f>
        <v>0.83599999999999997</v>
      </c>
      <c r="F148">
        <f ca="1">E150</f>
        <v>3</v>
      </c>
      <c r="G148" s="12">
        <f ca="1">1-G147</f>
        <v>0.54800000000000004</v>
      </c>
      <c r="I148">
        <f ca="1">_xlfn.BINOM.INV(I145,I146,RAND())</f>
        <v>3</v>
      </c>
      <c r="J148" s="2">
        <f ca="1">IF(I148&gt;=$Q$2, F147, F148)</f>
        <v>3</v>
      </c>
    </row>
    <row r="149" spans="1:21" x14ac:dyDescent="0.35">
      <c r="A149">
        <v>3</v>
      </c>
      <c r="B149" s="12">
        <f>INDEX( seedperc, A150+1,A149+2)</f>
        <v>0.83599999999999997</v>
      </c>
    </row>
    <row r="150" spans="1:21" x14ac:dyDescent="0.35">
      <c r="A150">
        <v>14</v>
      </c>
      <c r="B150" s="12">
        <f>1-B149</f>
        <v>0.16400000000000003</v>
      </c>
      <c r="D150">
        <f ca="1">_xlfn.BINOM.INV(D147,D148,RAND())</f>
        <v>6</v>
      </c>
      <c r="E150" s="2">
        <f ca="1">IF(D150&gt;=$Q$2, A149, A150)</f>
        <v>3</v>
      </c>
    </row>
    <row r="151" spans="1:21" x14ac:dyDescent="0.35">
      <c r="M151" t="s">
        <v>147</v>
      </c>
      <c r="N151">
        <f>$Q$1</f>
        <v>7</v>
      </c>
    </row>
    <row r="152" spans="1:21" x14ac:dyDescent="0.35">
      <c r="C152" t="s">
        <v>147</v>
      </c>
      <c r="D152">
        <f>$Q$1</f>
        <v>7</v>
      </c>
      <c r="M152" t="s">
        <v>151</v>
      </c>
      <c r="N152" s="12">
        <f ca="1">L153</f>
        <v>0.38300000000000001</v>
      </c>
    </row>
    <row r="153" spans="1:21" x14ac:dyDescent="0.35">
      <c r="C153" t="s">
        <v>151</v>
      </c>
      <c r="D153" s="12">
        <f>B154</f>
        <v>0.60499999999999998</v>
      </c>
      <c r="K153">
        <f ca="1">J148</f>
        <v>3</v>
      </c>
      <c r="L153" s="12">
        <f ca="1">INDEX( seedperc, K154+1,K153+2)</f>
        <v>0.38300000000000001</v>
      </c>
    </row>
    <row r="154" spans="1:21" x14ac:dyDescent="0.35">
      <c r="A154">
        <v>7</v>
      </c>
      <c r="B154" s="12">
        <f>INDEX( seedperc, A155+1,A154+2)</f>
        <v>0.60499999999999998</v>
      </c>
      <c r="K154">
        <f ca="1">J158</f>
        <v>2</v>
      </c>
      <c r="L154" s="12">
        <f ca="1">1-L153</f>
        <v>0.61699999999999999</v>
      </c>
      <c r="N154">
        <f ca="1">_xlfn.BINOM.INV(N151,N152,RAND())</f>
        <v>5</v>
      </c>
      <c r="O154" s="2">
        <f ca="1">IF(N154&gt;=$Q$2, K153, K154)</f>
        <v>3</v>
      </c>
    </row>
    <row r="155" spans="1:21" x14ac:dyDescent="0.35">
      <c r="A155">
        <v>10</v>
      </c>
      <c r="B155" s="12">
        <f>1-B154</f>
        <v>0.39500000000000002</v>
      </c>
      <c r="D155">
        <f ca="1">_xlfn.BINOM.INV(D152,D153,RAND())</f>
        <v>6</v>
      </c>
      <c r="E155" s="2">
        <f ca="1">IF(D155&gt;=$Q$2, A154, A155)</f>
        <v>7</v>
      </c>
      <c r="H155" t="s">
        <v>147</v>
      </c>
      <c r="I155">
        <f>$Q$1</f>
        <v>7</v>
      </c>
    </row>
    <row r="156" spans="1:21" x14ac:dyDescent="0.35">
      <c r="H156" t="s">
        <v>151</v>
      </c>
      <c r="I156" s="12">
        <f ca="1">G157</f>
        <v>0.27800000000000002</v>
      </c>
    </row>
    <row r="157" spans="1:21" x14ac:dyDescent="0.35">
      <c r="C157" t="s">
        <v>147</v>
      </c>
      <c r="D157">
        <f>$Q$1</f>
        <v>7</v>
      </c>
      <c r="F157">
        <f ca="1">E155</f>
        <v>7</v>
      </c>
      <c r="G157" s="12">
        <f ca="1">INDEX( seedperc, F158+1,F157+2)</f>
        <v>0.27800000000000002</v>
      </c>
    </row>
    <row r="158" spans="1:21" x14ac:dyDescent="0.35">
      <c r="C158" t="s">
        <v>151</v>
      </c>
      <c r="D158" s="12">
        <f>B159</f>
        <v>0.93</v>
      </c>
      <c r="F158">
        <f ca="1">E160</f>
        <v>2</v>
      </c>
      <c r="G158" s="12">
        <f ca="1">1-G157</f>
        <v>0.72199999999999998</v>
      </c>
      <c r="I158">
        <f ca="1">_xlfn.BINOM.INV(I155,I156,RAND())</f>
        <v>2</v>
      </c>
      <c r="J158" s="2">
        <f ca="1">IF(I158&gt;=$Q$2, F157, F158)</f>
        <v>2</v>
      </c>
    </row>
    <row r="159" spans="1:21" x14ac:dyDescent="0.35">
      <c r="A159">
        <v>2</v>
      </c>
      <c r="B159" s="12">
        <f>INDEX( seedperc, A160+1,A159+2)</f>
        <v>0.93</v>
      </c>
    </row>
    <row r="160" spans="1:21" x14ac:dyDescent="0.35">
      <c r="A160">
        <v>15</v>
      </c>
      <c r="B160" s="12">
        <f>1-B159</f>
        <v>6.9999999999999951E-2</v>
      </c>
      <c r="D160">
        <f ca="1">_xlfn.BINOM.INV(D157,D158,RAND())</f>
        <v>6</v>
      </c>
      <c r="E160" s="2">
        <f ca="1">IF(D160&gt;=$Q$2, A159, A160)</f>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vt:i4>
      </vt:variant>
    </vt:vector>
  </HeadingPairs>
  <TitlesOfParts>
    <vt:vector size="48" baseType="lpstr">
      <vt:lpstr>Simulation</vt:lpstr>
      <vt:lpstr>HW5</vt:lpstr>
      <vt:lpstr>HW</vt:lpstr>
      <vt:lpstr>Simple_Bracket</vt:lpstr>
      <vt:lpstr>Pool Play</vt:lpstr>
      <vt:lpstr>Sim_Basic</vt:lpstr>
      <vt:lpstr>Bracket_Pool</vt:lpstr>
      <vt:lpstr>Regression1</vt:lpstr>
      <vt:lpstr>Sheet4</vt:lpstr>
      <vt:lpstr>Sheet9</vt:lpstr>
      <vt:lpstr>Sheet5</vt:lpstr>
      <vt:lpstr>blkandtov</vt:lpstr>
      <vt:lpstr>superstat2</vt:lpstr>
      <vt:lpstr>Sheet15</vt:lpstr>
      <vt:lpstr>Sheet16</vt:lpstr>
      <vt:lpstr>Sheet17</vt:lpstr>
      <vt:lpstr>Sheet21</vt:lpstr>
      <vt:lpstr>Sheet23</vt:lpstr>
      <vt:lpstr>Sheet22</vt:lpstr>
      <vt:lpstr>Sheet24</vt:lpstr>
      <vt:lpstr>Sheet27</vt:lpstr>
      <vt:lpstr>Sheet28</vt:lpstr>
      <vt:lpstr>Sheet30</vt:lpstr>
      <vt:lpstr>Sheet31</vt:lpstr>
      <vt:lpstr>Sheet32</vt:lpstr>
      <vt:lpstr>Sheet35</vt:lpstr>
      <vt:lpstr>Sheet33</vt:lpstr>
      <vt:lpstr>Sheet36</vt:lpstr>
      <vt:lpstr>Sheet38</vt:lpstr>
      <vt:lpstr>Sheet37</vt:lpstr>
      <vt:lpstr>Sheet39</vt:lpstr>
      <vt:lpstr>Sheet40</vt:lpstr>
      <vt:lpstr>Sheet41</vt:lpstr>
      <vt:lpstr>Sheet42</vt:lpstr>
      <vt:lpstr>Sheet44</vt:lpstr>
      <vt:lpstr>Sheet45</vt:lpstr>
      <vt:lpstr>Correlation</vt:lpstr>
      <vt:lpstr>NBAQ1</vt:lpstr>
      <vt:lpstr>NBAQ2</vt:lpstr>
      <vt:lpstr>NBAQ3</vt:lpstr>
      <vt:lpstr>FGM</vt:lpstr>
      <vt:lpstr>FG%PM</vt:lpstr>
      <vt:lpstr>CoolRegression</vt:lpstr>
      <vt:lpstr>NCAA Data</vt:lpstr>
      <vt:lpstr>NCAA Sim</vt:lpstr>
      <vt:lpstr>SeedHist</vt:lpstr>
      <vt:lpstr>seedperc</vt:lpstr>
      <vt:lpstr>winning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helpdesk</dc:creator>
  <cp:lastModifiedBy>Griffin Collins</cp:lastModifiedBy>
  <dcterms:created xsi:type="dcterms:W3CDTF">2016-04-14T01:44:00Z</dcterms:created>
  <dcterms:modified xsi:type="dcterms:W3CDTF">2024-04-11T12:46:14Z</dcterms:modified>
</cp:coreProperties>
</file>