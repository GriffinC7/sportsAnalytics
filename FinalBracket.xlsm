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607056c5dbb116b/Documents/Important Documents/Sports Stats/"/>
    </mc:Choice>
  </mc:AlternateContent>
  <xr:revisionPtr revIDLastSave="1005" documentId="8_{1A3A9231-38F3-41E7-A13B-F21F407CB913}" xr6:coauthVersionLast="47" xr6:coauthVersionMax="47" xr10:uidLastSave="{86E9D317-23BC-491B-AD4E-A88A58D6D190}"/>
  <bookViews>
    <workbookView xWindow="-110" yWindow="-110" windowWidth="19420" windowHeight="10300" activeTab="1" xr2:uid="{3C3700A1-7B6D-4A02-826D-490E6EF869D3}"/>
  </bookViews>
  <sheets>
    <sheet name="Win %" sheetId="1" r:id="rId1"/>
    <sheet name="Pool Play" sheetId="3" r:id="rId2"/>
    <sheet name="Tennis Stats" sheetId="4" r:id="rId3"/>
    <sheet name="Source" sheetId="8" r:id="rId4"/>
    <sheet name="1stRegression" sheetId="6" r:id="rId5"/>
    <sheet name="2ndRegression" sheetId="7" r:id="rId6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3" i="7" l="1"/>
  <c r="M23" i="7"/>
  <c r="N23" i="7"/>
  <c r="O23" i="7"/>
  <c r="P23" i="7"/>
  <c r="Q23" i="7"/>
  <c r="R23" i="7"/>
  <c r="K23" i="7"/>
  <c r="L22" i="7"/>
  <c r="M22" i="7"/>
  <c r="N22" i="7"/>
  <c r="O22" i="7"/>
  <c r="P22" i="7"/>
  <c r="Q22" i="7"/>
  <c r="R22" i="7"/>
  <c r="L21" i="7"/>
  <c r="M21" i="7"/>
  <c r="N21" i="7"/>
  <c r="O21" i="7"/>
  <c r="P21" i="7"/>
  <c r="Q21" i="7"/>
  <c r="R21" i="7"/>
  <c r="K21" i="7"/>
  <c r="K22" i="7"/>
  <c r="L24" i="7"/>
  <c r="M24" i="7"/>
  <c r="N24" i="7"/>
  <c r="O24" i="7"/>
  <c r="P24" i="7"/>
  <c r="Q24" i="7"/>
  <c r="R24" i="7"/>
  <c r="K24" i="7"/>
  <c r="L20" i="7"/>
  <c r="M20" i="7"/>
  <c r="N20" i="7"/>
  <c r="O20" i="7"/>
  <c r="P20" i="7"/>
  <c r="Q20" i="7"/>
  <c r="R20" i="7"/>
  <c r="K20" i="7"/>
  <c r="L19" i="7"/>
  <c r="M19" i="7"/>
  <c r="N19" i="7"/>
  <c r="O19" i="7"/>
  <c r="P19" i="7"/>
  <c r="Q19" i="7"/>
  <c r="R19" i="7"/>
  <c r="K19" i="7"/>
  <c r="L18" i="7"/>
  <c r="M18" i="7"/>
  <c r="N18" i="7"/>
  <c r="O18" i="7"/>
  <c r="P18" i="7"/>
  <c r="Q18" i="7"/>
  <c r="R18" i="7"/>
  <c r="K18" i="7"/>
  <c r="J24" i="6"/>
  <c r="B46" i="3"/>
  <c r="E39" i="3" s="1"/>
  <c r="C46" i="3"/>
  <c r="F39" i="3" s="1"/>
  <c r="E45" i="3" l="1"/>
  <c r="E43" i="3"/>
  <c r="F38" i="3"/>
  <c r="E38" i="3"/>
  <c r="E44" i="3"/>
  <c r="E42" i="3"/>
  <c r="F45" i="3"/>
  <c r="F43" i="3"/>
  <c r="F44" i="3"/>
  <c r="F42" i="3"/>
  <c r="F41" i="3"/>
  <c r="F40" i="3"/>
  <c r="E41" i="3"/>
  <c r="E40" i="3"/>
  <c r="C33" i="3" l="1"/>
  <c r="F25" i="3" s="1"/>
  <c r="B33" i="3"/>
  <c r="E32" i="3" s="1"/>
  <c r="E46" i="3" l="1"/>
  <c r="F46" i="3"/>
  <c r="F32" i="3"/>
  <c r="F31" i="3"/>
  <c r="F30" i="3"/>
  <c r="E31" i="3"/>
  <c r="E28" i="3"/>
  <c r="F28" i="3"/>
  <c r="F27" i="3"/>
  <c r="F29" i="3"/>
  <c r="F26" i="3"/>
  <c r="E30" i="3"/>
  <c r="E29" i="3"/>
  <c r="E27" i="3"/>
  <c r="E26" i="3"/>
  <c r="E25" i="3"/>
  <c r="F33" i="3" l="1"/>
  <c r="E33" i="3"/>
  <c r="E11" i="3" l="1"/>
  <c r="D11" i="3"/>
  <c r="C11" i="3"/>
  <c r="D10" i="3"/>
  <c r="C10" i="3"/>
  <c r="C9" i="3"/>
  <c r="E5" i="3"/>
  <c r="D5" i="3"/>
  <c r="C5" i="3"/>
  <c r="D4" i="3"/>
  <c r="C4" i="3"/>
  <c r="C3" i="3"/>
  <c r="E22" i="3"/>
  <c r="D22" i="3"/>
  <c r="C22" i="3"/>
  <c r="D21" i="3"/>
  <c r="C21" i="3"/>
  <c r="C20" i="3"/>
  <c r="E18" i="3"/>
  <c r="D18" i="3"/>
  <c r="C18" i="3"/>
  <c r="D17" i="3"/>
  <c r="C17" i="3"/>
  <c r="C16" i="3"/>
  <c r="G2" i="3" l="1"/>
  <c r="G11" i="3"/>
  <c r="G4" i="3"/>
  <c r="G5" i="3"/>
  <c r="G8" i="3"/>
  <c r="G9" i="3"/>
  <c r="G3" i="3"/>
  <c r="G10" i="3"/>
  <c r="I3" i="3" l="1"/>
  <c r="I10" i="3"/>
  <c r="I5" i="3"/>
  <c r="I9" i="3"/>
  <c r="I2" i="3"/>
  <c r="I8" i="3"/>
  <c r="I4" i="3"/>
  <c r="I11" i="3"/>
  <c r="L4" i="3" l="1"/>
  <c r="L5" i="3"/>
  <c r="L3" i="3"/>
  <c r="Y19" i="3" s="1"/>
  <c r="L2" i="3"/>
  <c r="L11" i="3"/>
  <c r="Y7" i="3" s="1"/>
  <c r="L10" i="3"/>
  <c r="L9" i="3"/>
  <c r="L8" i="3"/>
  <c r="Y18" i="3" l="1"/>
  <c r="Y25" i="3"/>
  <c r="M8" i="3"/>
  <c r="Z24" i="3" s="1"/>
  <c r="AA24" i="3" s="1"/>
  <c r="Y24" i="3"/>
  <c r="Y13" i="3"/>
  <c r="M9" i="3"/>
  <c r="M19" i="3" s="1"/>
  <c r="N19" i="3" s="1"/>
  <c r="Y12" i="3"/>
  <c r="M2" i="3"/>
  <c r="M18" i="3" s="1"/>
  <c r="N18" i="3" s="1"/>
  <c r="Y6" i="3"/>
  <c r="M11" i="3"/>
  <c r="M5" i="3"/>
  <c r="M4" i="3"/>
  <c r="M10" i="3"/>
  <c r="M3" i="3"/>
  <c r="Z19" i="3" s="1"/>
  <c r="L18" i="3"/>
  <c r="L25" i="3"/>
  <c r="L24" i="3"/>
  <c r="L19" i="3"/>
  <c r="AA19" i="3" l="1"/>
  <c r="M24" i="3"/>
  <c r="N24" i="3" s="1"/>
  <c r="Z7" i="3"/>
  <c r="AA7" i="3" s="1"/>
  <c r="Z12" i="3"/>
  <c r="AA12" i="3" s="1"/>
  <c r="Z6" i="3"/>
  <c r="AA6" i="3" s="1"/>
  <c r="P16" i="3"/>
  <c r="P19" i="3" s="1"/>
  <c r="Q19" i="3" s="1"/>
  <c r="R19" i="3" s="1"/>
  <c r="Z18" i="3"/>
  <c r="Z25" i="3"/>
  <c r="AA25" i="3" s="1"/>
  <c r="Z13" i="3"/>
  <c r="AA13" i="3" s="1"/>
  <c r="M25" i="3"/>
  <c r="N25" i="3" s="1"/>
  <c r="AC10" i="3" l="1"/>
  <c r="AC13" i="3" s="1"/>
  <c r="AD13" i="3" s="1"/>
  <c r="AE10" i="3" s="1"/>
  <c r="AC22" i="3"/>
  <c r="AC25" i="3" s="1"/>
  <c r="AA18" i="3"/>
  <c r="AC16" i="3" s="1"/>
  <c r="AC19" i="3" s="1"/>
  <c r="P22" i="3"/>
  <c r="P25" i="3" s="1"/>
  <c r="Q25" i="3" s="1"/>
  <c r="AC4" i="3"/>
  <c r="AC7" i="3" s="1"/>
  <c r="AD7" i="3" s="1"/>
  <c r="AE7" i="3" l="1"/>
  <c r="AG7" i="3" s="1"/>
  <c r="AG10" i="3" s="1"/>
  <c r="AD25" i="3"/>
  <c r="AE22" i="3" s="1"/>
  <c r="AD19" i="3"/>
  <c r="AE19" i="3" s="1"/>
  <c r="R22" i="3"/>
  <c r="T19" i="3" s="1"/>
  <c r="T22" i="3" s="1"/>
  <c r="U22" i="3" s="1"/>
  <c r="V22" i="3" s="1"/>
  <c r="AH10" i="3" l="1"/>
  <c r="AK13" i="3" s="1"/>
  <c r="AG19" i="3"/>
  <c r="AG22" i="3" s="1"/>
  <c r="AH22" i="3" s="1"/>
  <c r="AK16" i="3" s="1"/>
  <c r="AM13" i="3" l="1"/>
  <c r="AM16" i="3" s="1"/>
  <c r="AN16" i="3" s="1"/>
  <c r="AO16" i="3" s="1"/>
  <c r="M12" i="1" l="1"/>
  <c r="M11" i="1"/>
  <c r="M10" i="1"/>
  <c r="M9" i="1"/>
  <c r="M8" i="1"/>
  <c r="M7" i="1"/>
  <c r="M6" i="1"/>
  <c r="M5" i="1"/>
  <c r="J12" i="1"/>
  <c r="K11" i="1"/>
  <c r="I12" i="1"/>
  <c r="I11" i="1"/>
  <c r="J10" i="1"/>
  <c r="K10" i="1"/>
  <c r="H12" i="1"/>
  <c r="H11" i="1"/>
  <c r="H10" i="1"/>
  <c r="K9" i="1"/>
  <c r="J9" i="1"/>
  <c r="I9" i="1"/>
  <c r="G12" i="1"/>
  <c r="G11" i="1"/>
  <c r="G10" i="1"/>
  <c r="G9" i="1"/>
  <c r="K8" i="1"/>
  <c r="J8" i="1"/>
  <c r="I8" i="1"/>
  <c r="H8" i="1"/>
  <c r="F12" i="1"/>
  <c r="F11" i="1"/>
  <c r="F10" i="1"/>
  <c r="F9" i="1"/>
  <c r="F8" i="1"/>
  <c r="K7" i="1"/>
  <c r="J7" i="1"/>
  <c r="I7" i="1"/>
  <c r="H7" i="1"/>
  <c r="G7" i="1"/>
  <c r="J5" i="1"/>
  <c r="E12" i="1"/>
  <c r="E11" i="1"/>
  <c r="E10" i="1"/>
  <c r="E9" i="1"/>
  <c r="E8" i="1"/>
  <c r="E7" i="1"/>
  <c r="F6" i="1"/>
  <c r="G6" i="1"/>
  <c r="H6" i="1"/>
  <c r="J6" i="1"/>
  <c r="I6" i="1"/>
  <c r="K6" i="1"/>
  <c r="D12" i="1"/>
  <c r="K5" i="1"/>
  <c r="D11" i="1"/>
  <c r="D10" i="1"/>
  <c r="I5" i="1"/>
  <c r="D9" i="1"/>
  <c r="H5" i="1"/>
  <c r="D8" i="1"/>
  <c r="G5" i="1"/>
  <c r="D7" i="1"/>
  <c r="F5" i="1"/>
  <c r="E5" i="1"/>
  <c r="D6" i="1"/>
</calcChain>
</file>

<file path=xl/sharedStrings.xml><?xml version="1.0" encoding="utf-8"?>
<sst xmlns="http://schemas.openxmlformats.org/spreadsheetml/2006/main" count="612" uniqueCount="477">
  <si>
    <t>Novak Djokovic</t>
  </si>
  <si>
    <t>Jannik Sinner</t>
  </si>
  <si>
    <t>Djokovic</t>
  </si>
  <si>
    <t xml:space="preserve">Sinner </t>
  </si>
  <si>
    <t>Carlos Alcaraz</t>
  </si>
  <si>
    <t>Alcaraz</t>
  </si>
  <si>
    <t>Danil Medvedev</t>
  </si>
  <si>
    <t>Alexander Zverev</t>
  </si>
  <si>
    <t>Casper Ruud</t>
  </si>
  <si>
    <t>Sefanos Tsitsipas</t>
  </si>
  <si>
    <t>Andrey Rublev</t>
  </si>
  <si>
    <t>Medvedev</t>
  </si>
  <si>
    <t>Zverev</t>
  </si>
  <si>
    <t>Ruud</t>
  </si>
  <si>
    <t>Tsitsipas</t>
  </si>
  <si>
    <t>Rublev</t>
  </si>
  <si>
    <t>Average</t>
  </si>
  <si>
    <t>Pool A</t>
  </si>
  <si>
    <t>count wins</t>
  </si>
  <si>
    <t>Rank</t>
  </si>
  <si>
    <t>Bracket:</t>
  </si>
  <si>
    <t>1A</t>
  </si>
  <si>
    <t>2B</t>
  </si>
  <si>
    <t>2A</t>
  </si>
  <si>
    <t>1B</t>
  </si>
  <si>
    <t>Vlookup</t>
  </si>
  <si>
    <t>Relative</t>
  </si>
  <si>
    <t>Sinner</t>
  </si>
  <si>
    <t>Sim of the ATP Finals</t>
  </si>
  <si>
    <t>Games</t>
  </si>
  <si>
    <t>Round 2</t>
  </si>
  <si>
    <t>Winner</t>
  </si>
  <si>
    <t>Runner Up</t>
  </si>
  <si>
    <t xml:space="preserve">Wins </t>
  </si>
  <si>
    <t>Runner Ups</t>
  </si>
  <si>
    <t>Total</t>
  </si>
  <si>
    <t>Games/Series</t>
  </si>
  <si>
    <t>Win%</t>
  </si>
  <si>
    <t>RU %</t>
  </si>
  <si>
    <t>A1</t>
  </si>
  <si>
    <t>B4</t>
  </si>
  <si>
    <t>B2</t>
  </si>
  <si>
    <t>A3</t>
  </si>
  <si>
    <t>B1</t>
  </si>
  <si>
    <t>A4</t>
  </si>
  <si>
    <t>B3</t>
  </si>
  <si>
    <t>A2</t>
  </si>
  <si>
    <t>Novak Djokovic [SRB]</t>
  </si>
  <si>
    <t>Jannik Sinner [ITA]</t>
  </si>
  <si>
    <t>Carlos Alcaraz [ESP]</t>
  </si>
  <si>
    <t>Daniil Medvedev [RUS]</t>
  </si>
  <si>
    <t>Alexander Zverev [GER]</t>
  </si>
  <si>
    <t>Casper Ruud [NOR]</t>
  </si>
  <si>
    <t>Stefanos Tsitsipas [GRE]</t>
  </si>
  <si>
    <t>Andrey Rublev [RUS]</t>
  </si>
  <si>
    <t>Hubert Hurkacz [POL]</t>
  </si>
  <si>
    <t>Grigor Dimitrov [BUL]</t>
  </si>
  <si>
    <t>Alex De Minaur [AUS]</t>
  </si>
  <si>
    <t>Holger Rune [DEN]</t>
  </si>
  <si>
    <t>Taylor Fritz [USA]</t>
  </si>
  <si>
    <t>Ugo Humbert [FRA]</t>
  </si>
  <si>
    <t>Ben Shelton [USA]</t>
  </si>
  <si>
    <t>Tommy Paul [USA]</t>
  </si>
  <si>
    <t>Karen Khachanov [RUS]</t>
  </si>
  <si>
    <t>Alexander Bublik [KAZ]</t>
  </si>
  <si>
    <t>Sebastian Baez [ARG]</t>
  </si>
  <si>
    <t>Adrian Mannarino [FRA]</t>
  </si>
  <si>
    <t>Frances Tiafoe [USA]</t>
  </si>
  <si>
    <t>Francisco Cerundolo [ARG]</t>
  </si>
  <si>
    <t>Nicolas Jarry [CHI]</t>
  </si>
  <si>
    <t>Jan Lennard Struff [GER]</t>
  </si>
  <si>
    <t>21-19</t>
  </si>
  <si>
    <t>Tallon Griekspoor [NED]</t>
  </si>
  <si>
    <t>Sebastian Korda [USA]</t>
  </si>
  <si>
    <t>Tomas Martin Etcheverry [ARG]</t>
  </si>
  <si>
    <t>Alejandro Davidovich Fokina [ESP]</t>
  </si>
  <si>
    <t>Lorenzo Musetti [ITA]</t>
  </si>
  <si>
    <t>Cameron Norrie [GBR]</t>
  </si>
  <si>
    <t>Jiri Lehecka [CZE]</t>
  </si>
  <si>
    <t>Arthur Fils [FRA]</t>
  </si>
  <si>
    <t>Jordan Thompson [AUS]</t>
  </si>
  <si>
    <t>Borna Coric [CRO]</t>
  </si>
  <si>
    <t>Felix Auger Aliassime [CAN]</t>
  </si>
  <si>
    <t>Matteo Arnaldi [ITA]</t>
  </si>
  <si>
    <t>Fabian Marozsan [HUN]</t>
  </si>
  <si>
    <t>Alejandro Tabilo [CHI]</t>
  </si>
  <si>
    <t>Laslo Djere [SRB]</t>
  </si>
  <si>
    <t>Gael Monfils [FRA]</t>
  </si>
  <si>
    <t>27-18</t>
  </si>
  <si>
    <t>Mariano Navone [ARG]</t>
  </si>
  <si>
    <t>Roman Safiullin [RUS]</t>
  </si>
  <si>
    <t>Jack Draper [GBR]</t>
  </si>
  <si>
    <t>Christopher Eubanks [USA]</t>
  </si>
  <si>
    <t>Sebastian Ofner [AUT]</t>
  </si>
  <si>
    <t>Alexei Popyrin [AUS]</t>
  </si>
  <si>
    <t>Facundo Diaz Acosta [ARG]</t>
  </si>
  <si>
    <t>13-12</t>
  </si>
  <si>
    <t>Aslan Karatsev [RUS]</t>
  </si>
  <si>
    <t>Zhizhen Zhang [CHN]</t>
  </si>
  <si>
    <t>Tomas Machac [CZE]</t>
  </si>
  <si>
    <t>Player</t>
  </si>
  <si>
    <t>M</t>
  </si>
  <si>
    <t>SPW</t>
  </si>
  <si>
    <t>SPW-InP</t>
  </si>
  <si>
    <t>Aces</t>
  </si>
  <si>
    <t>Ace%</t>
  </si>
  <si>
    <t>DFs</t>
  </si>
  <si>
    <t>DF%</t>
  </si>
  <si>
    <t>DF/2s</t>
  </si>
  <si>
    <t>1stIn</t>
  </si>
  <si>
    <t>1st%</t>
  </si>
  <si>
    <t>2nd%</t>
  </si>
  <si>
    <t>2%-InP</t>
  </si>
  <si>
    <t>Hld%</t>
  </si>
  <si>
    <t>Pts/SG</t>
  </si>
  <si>
    <t>PtsL/SG</t>
  </si>
  <si>
    <t>Marcos Giron [USA]</t>
  </si>
  <si>
    <t>Lorenzo Sonego [ITA]</t>
  </si>
  <si>
    <t>Marton Fucsovics [HUN]</t>
  </si>
  <si>
    <t>Dominik Koepfer [GER]</t>
  </si>
  <si>
    <t>Pedro Martinez [ESP]</t>
  </si>
  <si>
    <t>Nuno Borges [POR]</t>
  </si>
  <si>
    <t>Andy Murray [GBR]</t>
  </si>
  <si>
    <t>Yannick Hanfmann [GER]</t>
  </si>
  <si>
    <t>Alexander Shevchenko [KAZ]</t>
  </si>
  <si>
    <t>Luciano Darderi [ITA]</t>
  </si>
  <si>
    <t>Daniel Altmaier [GER]</t>
  </si>
  <si>
    <t>Aleksandar Vukic [AUS]</t>
  </si>
  <si>
    <t>Thiago Seyboth Wild [BRA]</t>
  </si>
  <si>
    <t>Flavio Cobolli [ITA]</t>
  </si>
  <si>
    <t>Dusan Lajovic [SRB]</t>
  </si>
  <si>
    <t>Miomir Kecmanovic [SRB]</t>
  </si>
  <si>
    <t>Christopher Oconnell [AUS]</t>
  </si>
  <si>
    <t>Roberto Carballes Baena [ESP]</t>
  </si>
  <si>
    <t>Daniel Evans [GBR]</t>
  </si>
  <si>
    <t>Alex Michelsen [USA]</t>
  </si>
  <si>
    <t>Emil Ruusuvuori [FIN]</t>
  </si>
  <si>
    <t>Pavel Kotov [RUS]</t>
  </si>
  <si>
    <t>Jaume Munar [ESP]</t>
  </si>
  <si>
    <t>Jakub Mensik [CZE]</t>
  </si>
  <si>
    <t>Arthur Cazaux [FRA]</t>
  </si>
  <si>
    <t>Mackenzie Mcdonald [USA]</t>
  </si>
  <si>
    <t>Arthur Rinderknech [FRA]</t>
  </si>
  <si>
    <t>Yoshihito Nishioka [JPN]</t>
  </si>
  <si>
    <t>Rinky Hijikata [AUS]</t>
  </si>
  <si>
    <t>Max Purcell [AUS]</t>
  </si>
  <si>
    <t>Brandon Nakashima [USA]</t>
  </si>
  <si>
    <t>Sumit Nagal [IND]</t>
  </si>
  <si>
    <t>Federico Coria [ARG]</t>
  </si>
  <si>
    <t>Luca Nardi [ITA]</t>
  </si>
  <si>
    <t>Taro Daniel [JPN]</t>
  </si>
  <si>
    <t>Roberto Bautista Agut [ESP]</t>
  </si>
  <si>
    <t>Stan Wawrinka [SUI]</t>
  </si>
  <si>
    <t>Corentin Moutet [FRA]</t>
  </si>
  <si>
    <t>Daniel Elahi Galan [COL]</t>
  </si>
  <si>
    <t>Constant Lestienne [FRA]</t>
  </si>
  <si>
    <t>Pedro Cachin [ARG]</t>
  </si>
  <si>
    <t>Cristian Garin [CHI]</t>
  </si>
  <si>
    <t>Thanasi Kokkinakis [AUS]</t>
  </si>
  <si>
    <t>Fabio Fognini [ITA]</t>
  </si>
  <si>
    <t>Hugo Gaston [FRA]</t>
  </si>
  <si>
    <t>Francisco Comesana [ARG]</t>
  </si>
  <si>
    <t>Aleksandar Kovacevic [USA]</t>
  </si>
  <si>
    <t>Matteo Berrettini [ITA]</t>
  </si>
  <si>
    <t>Luca Van Assche [FRA]</t>
  </si>
  <si>
    <t>Maximilian Marterer [GER]</t>
  </si>
  <si>
    <t>L</t>
  </si>
  <si>
    <t>Full 8 Player Bracket</t>
  </si>
  <si>
    <t>W</t>
  </si>
  <si>
    <t>Normal Bracket</t>
  </si>
  <si>
    <t>Source:</t>
  </si>
  <si>
    <t>https://www.tennisabstract.com/cgi-bin/leaders.cgi</t>
  </si>
  <si>
    <t>Semi</t>
  </si>
  <si>
    <t>W%</t>
  </si>
  <si>
    <t>BPConv%</t>
  </si>
  <si>
    <t>BPConv</t>
  </si>
  <si>
    <t>BPChnc</t>
  </si>
  <si>
    <t>BP/G</t>
  </si>
  <si>
    <t>BP/S</t>
  </si>
  <si>
    <t>BP/M</t>
  </si>
  <si>
    <t>Bks/S</t>
  </si>
  <si>
    <t>Bks/M</t>
  </si>
  <si>
    <t>BPSvd%</t>
  </si>
  <si>
    <t>BPSaved</t>
  </si>
  <si>
    <t>BPvs</t>
  </si>
  <si>
    <t>BPvs/G</t>
  </si>
  <si>
    <t>BPvs/S</t>
  </si>
  <si>
    <t>BPvs/M</t>
  </si>
  <si>
    <t>Bkn/S</t>
  </si>
  <si>
    <t>Bkn/M</t>
  </si>
  <si>
    <t>15-13</t>
  </si>
  <si>
    <t>149-47</t>
  </si>
  <si>
    <t>1096-751</t>
  </si>
  <si>
    <t>18-10</t>
  </si>
  <si>
    <t>129-44</t>
  </si>
  <si>
    <t>934-687</t>
  </si>
  <si>
    <t>19-13</t>
  </si>
  <si>
    <t>129-62</t>
  </si>
  <si>
    <t>1022-820</t>
  </si>
  <si>
    <t>24-21</t>
  </si>
  <si>
    <t>148-79</t>
  </si>
  <si>
    <t>1222-1016</t>
  </si>
  <si>
    <t>18-12</t>
  </si>
  <si>
    <t>131-64</t>
  </si>
  <si>
    <t>1030-828</t>
  </si>
  <si>
    <t>26-17</t>
  </si>
  <si>
    <t>120-65</t>
  </si>
  <si>
    <t>991-828</t>
  </si>
  <si>
    <t>17-23</t>
  </si>
  <si>
    <t>121-74</t>
  </si>
  <si>
    <t>1058-884</t>
  </si>
  <si>
    <t>33-28</t>
  </si>
  <si>
    <t>127-75</t>
  </si>
  <si>
    <t>1094-953</t>
  </si>
  <si>
    <t>121-60</t>
  </si>
  <si>
    <t>975-789</t>
  </si>
  <si>
    <t>14-8</t>
  </si>
  <si>
    <t>124-74</t>
  </si>
  <si>
    <t>1010-836</t>
  </si>
  <si>
    <t>28-8</t>
  </si>
  <si>
    <t>96-70</t>
  </si>
  <si>
    <t>797-781</t>
  </si>
  <si>
    <t>16-14</t>
  </si>
  <si>
    <t>104-59</t>
  </si>
  <si>
    <t>862-699</t>
  </si>
  <si>
    <t>13-10</t>
  </si>
  <si>
    <t>104-67</t>
  </si>
  <si>
    <t>873-768</t>
  </si>
  <si>
    <t>21-17</t>
  </si>
  <si>
    <t>84-67</t>
  </si>
  <si>
    <t>772-739</t>
  </si>
  <si>
    <t>14-15</t>
  </si>
  <si>
    <t>101-70</t>
  </si>
  <si>
    <t>872-759</t>
  </si>
  <si>
    <t>14-6</t>
  </si>
  <si>
    <t>73-47</t>
  </si>
  <si>
    <t>610-554</t>
  </si>
  <si>
    <t>75-60</t>
  </si>
  <si>
    <t>637-631</t>
  </si>
  <si>
    <t>87-64</t>
  </si>
  <si>
    <t>728-656</t>
  </si>
  <si>
    <t>90-69</t>
  </si>
  <si>
    <t>774-737</t>
  </si>
  <si>
    <t>18-13</t>
  </si>
  <si>
    <t>73-59</t>
  </si>
  <si>
    <t>669-635</t>
  </si>
  <si>
    <t>84-76</t>
  </si>
  <si>
    <t>784-738</t>
  </si>
  <si>
    <t>20-17</t>
  </si>
  <si>
    <t>89-68</t>
  </si>
  <si>
    <t>830-767</t>
  </si>
  <si>
    <t>18-15</t>
  </si>
  <si>
    <t>53-49</t>
  </si>
  <si>
    <t>523-508</t>
  </si>
  <si>
    <t>24-18</t>
  </si>
  <si>
    <t>80-71</t>
  </si>
  <si>
    <t>759-762</t>
  </si>
  <si>
    <t>15-17</t>
  </si>
  <si>
    <t>71-61</t>
  </si>
  <si>
    <t>672-625</t>
  </si>
  <si>
    <t>13-17</t>
  </si>
  <si>
    <t>72-66</t>
  </si>
  <si>
    <t>674-655</t>
  </si>
  <si>
    <t>63-59</t>
  </si>
  <si>
    <t>586-563</t>
  </si>
  <si>
    <t>75-74</t>
  </si>
  <si>
    <t>720-716</t>
  </si>
  <si>
    <t>67-68</t>
  </si>
  <si>
    <t>682-631</t>
  </si>
  <si>
    <t>71-65</t>
  </si>
  <si>
    <t>666-658</t>
  </si>
  <si>
    <t>16-7</t>
  </si>
  <si>
    <t>81-68</t>
  </si>
  <si>
    <t>684-668</t>
  </si>
  <si>
    <t>22-11</t>
  </si>
  <si>
    <t>79-62</t>
  </si>
  <si>
    <t>704-674</t>
  </si>
  <si>
    <t>44-47</t>
  </si>
  <si>
    <t>430-436</t>
  </si>
  <si>
    <t>51-54</t>
  </si>
  <si>
    <t>536-522</t>
  </si>
  <si>
    <t>18-9</t>
  </si>
  <si>
    <t>76-63</t>
  </si>
  <si>
    <t>684-679</t>
  </si>
  <si>
    <t>57-47</t>
  </si>
  <si>
    <t>502-469</t>
  </si>
  <si>
    <t>36-28</t>
  </si>
  <si>
    <t>316-287</t>
  </si>
  <si>
    <t>15-9</t>
  </si>
  <si>
    <t>68-56</t>
  </si>
  <si>
    <t>603-595</t>
  </si>
  <si>
    <t>71-50</t>
  </si>
  <si>
    <t>620-566</t>
  </si>
  <si>
    <t>24-15</t>
  </si>
  <si>
    <t>186-169</t>
  </si>
  <si>
    <t>61-51</t>
  </si>
  <si>
    <t>560-518</t>
  </si>
  <si>
    <t>60-38</t>
  </si>
  <si>
    <t>520-399</t>
  </si>
  <si>
    <t>17-17</t>
  </si>
  <si>
    <t>54-57</t>
  </si>
  <si>
    <t>561-568</t>
  </si>
  <si>
    <t>58-67</t>
  </si>
  <si>
    <t>578-621</t>
  </si>
  <si>
    <t>58-52</t>
  </si>
  <si>
    <t>568-542</t>
  </si>
  <si>
    <t>33-31</t>
  </si>
  <si>
    <t>305-294</t>
  </si>
  <si>
    <t>36-32</t>
  </si>
  <si>
    <t>342-328</t>
  </si>
  <si>
    <t>62-67</t>
  </si>
  <si>
    <t>613-625</t>
  </si>
  <si>
    <t>40-24</t>
  </si>
  <si>
    <t>342-301</t>
  </si>
  <si>
    <t>DR</t>
  </si>
  <si>
    <t>Points</t>
  </si>
  <si>
    <t>TPW%</t>
  </si>
  <si>
    <t>TBs</t>
  </si>
  <si>
    <t>TB W-L</t>
  </si>
  <si>
    <t>TB W%</t>
  </si>
  <si>
    <t>TB/S</t>
  </si>
  <si>
    <t>Sets</t>
  </si>
  <si>
    <t>Set W-L</t>
  </si>
  <si>
    <t>S W%</t>
  </si>
  <si>
    <t>Gms</t>
  </si>
  <si>
    <t>Game W-L</t>
  </si>
  <si>
    <t>G W%</t>
  </si>
  <si>
    <t>Time/Mt</t>
  </si>
  <si>
    <t>Min/Set</t>
  </si>
  <si>
    <t>Sec/Pt</t>
  </si>
  <si>
    <t>27-6</t>
  </si>
  <si>
    <t>132-36</t>
  </si>
  <si>
    <t>949-669</t>
  </si>
  <si>
    <t>62-63</t>
  </si>
  <si>
    <t>601-595</t>
  </si>
  <si>
    <t>65-77</t>
  </si>
  <si>
    <t>681-700</t>
  </si>
  <si>
    <t>63-52</t>
  </si>
  <si>
    <t>570-536</t>
  </si>
  <si>
    <t>35-39</t>
  </si>
  <si>
    <t>359-361</t>
  </si>
  <si>
    <t>23-18</t>
  </si>
  <si>
    <t>206-188</t>
  </si>
  <si>
    <t>14-10</t>
  </si>
  <si>
    <t>42-54</t>
  </si>
  <si>
    <t>414-487</t>
  </si>
  <si>
    <t>40-43</t>
  </si>
  <si>
    <t>413-421</t>
  </si>
  <si>
    <t>55-75</t>
  </si>
  <si>
    <t>586-643</t>
  </si>
  <si>
    <t>15-7</t>
  </si>
  <si>
    <t>57-68</t>
  </si>
  <si>
    <t>560-646</t>
  </si>
  <si>
    <t>23-16</t>
  </si>
  <si>
    <t>193-169</t>
  </si>
  <si>
    <t>46-60</t>
  </si>
  <si>
    <t>487-523</t>
  </si>
  <si>
    <t>37-54</t>
  </si>
  <si>
    <t>426-506</t>
  </si>
  <si>
    <t>36-42</t>
  </si>
  <si>
    <t>352-374</t>
  </si>
  <si>
    <t>28-41</t>
  </si>
  <si>
    <t>281-313</t>
  </si>
  <si>
    <t>48-57</t>
  </si>
  <si>
    <t>479-511</t>
  </si>
  <si>
    <t>13-21</t>
  </si>
  <si>
    <t>60-74</t>
  </si>
  <si>
    <t>658-662</t>
  </si>
  <si>
    <t>16-11</t>
  </si>
  <si>
    <t>50-57</t>
  </si>
  <si>
    <t>520-551</t>
  </si>
  <si>
    <t>49-59</t>
  </si>
  <si>
    <t>498-523</t>
  </si>
  <si>
    <t>39-53</t>
  </si>
  <si>
    <t>430-452</t>
  </si>
  <si>
    <t>14-11</t>
  </si>
  <si>
    <t>48-47</t>
  </si>
  <si>
    <t>438-425</t>
  </si>
  <si>
    <t>54-54</t>
  </si>
  <si>
    <t>551-528</t>
  </si>
  <si>
    <t>42-40</t>
  </si>
  <si>
    <t>405-400</t>
  </si>
  <si>
    <t>38-38</t>
  </si>
  <si>
    <t>353-338</t>
  </si>
  <si>
    <t>28-17</t>
  </si>
  <si>
    <t>221-216</t>
  </si>
  <si>
    <t>15-18</t>
  </si>
  <si>
    <t>175-158</t>
  </si>
  <si>
    <t>48-49</t>
  </si>
  <si>
    <t>460-461</t>
  </si>
  <si>
    <t>39-48</t>
  </si>
  <si>
    <t>429-442</t>
  </si>
  <si>
    <t>41-54</t>
  </si>
  <si>
    <t>415-483</t>
  </si>
  <si>
    <t>38-43</t>
  </si>
  <si>
    <t>386-395</t>
  </si>
  <si>
    <t>42-66</t>
  </si>
  <si>
    <t>505-572</t>
  </si>
  <si>
    <t>44-45</t>
  </si>
  <si>
    <t>460-447</t>
  </si>
  <si>
    <t>111-114</t>
  </si>
  <si>
    <t>27-31</t>
  </si>
  <si>
    <t>269-282</t>
  </si>
  <si>
    <t>116-138</t>
  </si>
  <si>
    <t>30-48</t>
  </si>
  <si>
    <t>333-389</t>
  </si>
  <si>
    <t>36-41</t>
  </si>
  <si>
    <t>375-389</t>
  </si>
  <si>
    <t>54-51</t>
  </si>
  <si>
    <t>525-502</t>
  </si>
  <si>
    <t>31-47</t>
  </si>
  <si>
    <t>360-402</t>
  </si>
  <si>
    <t>34-52</t>
  </si>
  <si>
    <t>364-421</t>
  </si>
  <si>
    <t>17-38</t>
  </si>
  <si>
    <t>232-290</t>
  </si>
  <si>
    <t>31-46</t>
  </si>
  <si>
    <t>336-382</t>
  </si>
  <si>
    <t>366-363</t>
  </si>
  <si>
    <t>35-44</t>
  </si>
  <si>
    <t>371-401</t>
  </si>
  <si>
    <t>25-20</t>
  </si>
  <si>
    <t>211-217</t>
  </si>
  <si>
    <t>15-24</t>
  </si>
  <si>
    <t>157-208</t>
  </si>
  <si>
    <t>0-1</t>
  </si>
  <si>
    <t>25-40</t>
  </si>
  <si>
    <t>19-36</t>
  </si>
  <si>
    <t>258-293</t>
  </si>
  <si>
    <t>226-203</t>
  </si>
  <si>
    <t>15-16</t>
  </si>
  <si>
    <t>47-64</t>
  </si>
  <si>
    <t>475-527</t>
  </si>
  <si>
    <t>18-25</t>
  </si>
  <si>
    <t>196-221</t>
  </si>
  <si>
    <t>hubert Hurkacz</t>
  </si>
  <si>
    <t>Grigor Dimitrov</t>
  </si>
  <si>
    <t>https://www.atptour.com/en/players/atp-head-2-head/novak-djokovic-vs-grigor-dimitrov/d643/d875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</si>
  <si>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</si>
  <si>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</si>
  <si>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</si>
  <si>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</si>
  <si>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</si>
  <si>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</si>
  <si>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</si>
  <si>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</si>
  <si>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 </t>
  </si>
  <si>
    <t>df</t>
  </si>
  <si>
    <t>SS</t>
  </si>
  <si>
    <t>MS</t>
  </si>
  <si>
    <t>F</t>
  </si>
  <si>
    <t>Significance F</t>
  </si>
  <si>
    <t>Regression</t>
  </si>
  <si>
    <t>Residual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</si>
  <si>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</si>
  <si>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</si>
  <si>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</si>
  <si>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</si>
  <si>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</si>
  <si>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</si>
  <si>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</si>
  <si>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Intercept</t>
  </si>
  <si>
    <t>RPW</t>
  </si>
  <si>
    <t xml:space="preserve">Example </t>
  </si>
  <si>
    <t>predicted</t>
  </si>
  <si>
    <t>actual</t>
  </si>
  <si>
    <t>RPW-InP</t>
  </si>
  <si>
    <t>vAce%</t>
  </si>
  <si>
    <t>vDF%</t>
  </si>
  <si>
    <t>v1st%</t>
  </si>
  <si>
    <t>v2nd%</t>
  </si>
  <si>
    <t>Brk%</t>
  </si>
  <si>
    <t>Pts/RG</t>
  </si>
  <si>
    <t>PtsW/RG</t>
  </si>
  <si>
    <t>MdOppRk</t>
  </si>
  <si>
    <t>MnOppRk</t>
  </si>
  <si>
    <t>Variables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</si>
</sst>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8" formatCode="0.0%"/>
    <numFmt numFmtId="169" formatCode="0.000"/>
  </numFmts>
  <fonts count="1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Aptos Narrow"/>
      <family val="2"/>
      <scheme val="minor"/>
    </font>
    <font>
      <sz val="20"/>
      <color theme="1"/>
      <name val="Aptos Narrow"/>
      <family val="2"/>
      <scheme val="minor"/>
    </font>
    <font>
      <sz val="11"/>
      <color rgb="FF000000"/>
      <name val="Aptos Narrow"/>
    </font>
    <font>
      <i/>
      <sz val="11"/>
      <color rgb="FF000000"/>
      <name val="Aptos Narrow"/>
    </font>
    <font>
      <b/>
      <sz val="11"/>
      <color rgb="FF000000"/>
      <name val="Aptos Narrow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1F0C8"/>
        <bgColor rgb="FF000000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70">
    <xf numFmtId="0" fontId="0" fillId="0" borderId="0" xfId="0"/>
    <xf numFmtId="9" fontId="0" fillId="2" borderId="0" xfId="1" applyFont="1" applyFill="1"/>
    <xf numFmtId="9" fontId="0" fillId="0" borderId="0" xfId="1" applyFont="1"/>
    <xf numFmtId="9" fontId="0" fillId="0" borderId="0" xfId="0" applyNumberFormat="1"/>
    <xf numFmtId="0" fontId="3" fillId="0" borderId="0" xfId="0" applyFont="1"/>
    <xf numFmtId="0" fontId="4" fillId="0" borderId="0" xfId="0" applyFont="1"/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3" fillId="0" borderId="1" xfId="0" applyFont="1" applyBorder="1"/>
    <xf numFmtId="0" fontId="4" fillId="0" borderId="2" xfId="0" applyFont="1" applyBorder="1"/>
    <xf numFmtId="0" fontId="0" fillId="0" borderId="3" xfId="0" applyBorder="1"/>
    <xf numFmtId="0" fontId="0" fillId="0" borderId="4" xfId="0" applyBorder="1"/>
    <xf numFmtId="10" fontId="0" fillId="0" borderId="0" xfId="0" applyNumberFormat="1"/>
    <xf numFmtId="0" fontId="0" fillId="0" borderId="5" xfId="0" applyBorder="1"/>
    <xf numFmtId="9" fontId="4" fillId="0" borderId="4" xfId="0" applyNumberFormat="1" applyFont="1" applyBorder="1"/>
    <xf numFmtId="9" fontId="0" fillId="0" borderId="4" xfId="0" applyNumberFormat="1" applyBorder="1"/>
    <xf numFmtId="9" fontId="0" fillId="0" borderId="6" xfId="0" applyNumberFormat="1" applyBorder="1"/>
    <xf numFmtId="168" fontId="0" fillId="0" borderId="0" xfId="1" applyNumberFormat="1" applyFont="1" applyBorder="1"/>
    <xf numFmtId="0" fontId="0" fillId="3" borderId="0" xfId="0" applyFill="1"/>
    <xf numFmtId="0" fontId="0" fillId="0" borderId="7" xfId="0" applyBorder="1"/>
    <xf numFmtId="0" fontId="0" fillId="4" borderId="2" xfId="0" applyFill="1" applyBorder="1"/>
    <xf numFmtId="168" fontId="0" fillId="0" borderId="4" xfId="1" applyNumberFormat="1" applyFont="1" applyBorder="1"/>
    <xf numFmtId="168" fontId="0" fillId="0" borderId="0" xfId="1" applyNumberFormat="1" applyFont="1" applyFill="1"/>
    <xf numFmtId="168" fontId="2" fillId="0" borderId="0" xfId="1" applyNumberFormat="1" applyFont="1" applyAlignment="1">
      <alignment horizontal="center"/>
    </xf>
    <xf numFmtId="0" fontId="0" fillId="0" borderId="4" xfId="0" applyBorder="1" applyAlignment="1">
      <alignment horizontal="right"/>
    </xf>
    <xf numFmtId="0" fontId="2" fillId="5" borderId="0" xfId="0" applyFont="1" applyFill="1"/>
    <xf numFmtId="0" fontId="0" fillId="0" borderId="8" xfId="0" applyBorder="1"/>
    <xf numFmtId="0" fontId="0" fillId="3" borderId="6" xfId="0" applyFill="1" applyBorder="1"/>
    <xf numFmtId="0" fontId="2" fillId="5" borderId="0" xfId="0" applyFont="1" applyFill="1" applyAlignment="1">
      <alignment horizontal="center"/>
    </xf>
    <xf numFmtId="168" fontId="0" fillId="7" borderId="4" xfId="1" applyNumberFormat="1" applyFont="1" applyFill="1" applyBorder="1"/>
    <xf numFmtId="169" fontId="0" fillId="0" borderId="0" xfId="0" applyNumberFormat="1"/>
    <xf numFmtId="169" fontId="0" fillId="0" borderId="1" xfId="0" applyNumberFormat="1" applyBorder="1"/>
    <xf numFmtId="0" fontId="0" fillId="7" borderId="4" xfId="0" applyFill="1" applyBorder="1" applyAlignment="1">
      <alignment horizontal="right"/>
    </xf>
    <xf numFmtId="169" fontId="0" fillId="0" borderId="3" xfId="0" applyNumberFormat="1" applyBorder="1"/>
    <xf numFmtId="0" fontId="2" fillId="0" borderId="0" xfId="0" applyFont="1" applyAlignment="1">
      <alignment horizontal="center"/>
    </xf>
    <xf numFmtId="9" fontId="0" fillId="4" borderId="3" xfId="1" applyFont="1" applyFill="1" applyBorder="1"/>
    <xf numFmtId="9" fontId="0" fillId="4" borderId="5" xfId="1" applyFont="1" applyFill="1" applyBorder="1"/>
    <xf numFmtId="9" fontId="0" fillId="6" borderId="0" xfId="1" applyFont="1" applyFill="1"/>
    <xf numFmtId="0" fontId="0" fillId="0" borderId="3" xfId="0" applyFill="1" applyBorder="1"/>
    <xf numFmtId="9" fontId="0" fillId="0" borderId="8" xfId="1" applyFont="1" applyBorder="1"/>
    <xf numFmtId="0" fontId="5" fillId="0" borderId="0" xfId="2"/>
    <xf numFmtId="16" fontId="0" fillId="0" borderId="0" xfId="0" applyNumberFormat="1"/>
    <xf numFmtId="0" fontId="0" fillId="0" borderId="0" xfId="0" applyFill="1" applyBorder="1"/>
    <xf numFmtId="0" fontId="6" fillId="0" borderId="0" xfId="0" applyFont="1"/>
    <xf numFmtId="0" fontId="2" fillId="0" borderId="0" xfId="0" applyFont="1" applyFill="1"/>
    <xf numFmtId="0" fontId="7" fillId="0" borderId="0" xfId="0" applyFont="1"/>
    <xf numFmtId="0" fontId="8" fillId="0" borderId="9" xfId="0" applyFont="1" applyBorder="1"/>
    <xf numFmtId="0" fontId="8" fillId="0" borderId="0" xfId="0" applyFont="1"/>
    <xf numFmtId="0" fontId="7" fillId="0" borderId="8" xfId="0" applyFont="1" applyBorder="1"/>
    <xf numFmtId="11" fontId="7" fillId="0" borderId="0" xfId="0" applyNumberFormat="1" applyFont="1"/>
    <xf numFmtId="11" fontId="7" fillId="0" borderId="8" xfId="0" applyNumberFormat="1" applyFont="1" applyBorder="1"/>
    <xf numFmtId="0" fontId="7" fillId="8" borderId="0" xfId="0" applyFont="1" applyFill="1"/>
    <xf numFmtId="10" fontId="7" fillId="0" borderId="0" xfId="0" applyNumberFormat="1" applyFont="1"/>
    <xf numFmtId="0" fontId="9" fillId="0" borderId="0" xfId="0" applyFont="1"/>
    <xf numFmtId="0" fontId="9" fillId="0" borderId="8" xfId="0" applyFont="1" applyBorder="1"/>
    <xf numFmtId="0" fontId="2" fillId="0" borderId="0" xfId="0" applyFont="1"/>
    <xf numFmtId="0" fontId="7" fillId="9" borderId="0" xfId="0" applyFont="1" applyFill="1"/>
    <xf numFmtId="0" fontId="7" fillId="9" borderId="8" xfId="0" applyFont="1" applyFill="1" applyBorder="1"/>
    <xf numFmtId="11" fontId="7" fillId="10" borderId="0" xfId="0" applyNumberFormat="1" applyFont="1" applyFill="1"/>
    <xf numFmtId="0" fontId="7" fillId="10" borderId="0" xfId="0" applyFont="1" applyFill="1"/>
    <xf numFmtId="11" fontId="7" fillId="10" borderId="8" xfId="0" applyNumberFormat="1" applyFont="1" applyFill="1" applyBorder="1"/>
    <xf numFmtId="168" fontId="0" fillId="0" borderId="0" xfId="1" applyNumberFormat="1" applyFont="1" applyFill="1" applyBorder="1"/>
    <xf numFmtId="168" fontId="2" fillId="0" borderId="0" xfId="1" applyNumberFormat="1" applyFont="1" applyFill="1" applyBorder="1" applyAlignment="1">
      <alignment horizontal="center"/>
    </xf>
    <xf numFmtId="0" fontId="4" fillId="0" borderId="0" xfId="0" applyFont="1" applyFill="1" applyBorder="1"/>
    <xf numFmtId="9" fontId="0" fillId="0" borderId="0" xfId="1" applyFont="1" applyFill="1" applyBorder="1"/>
    <xf numFmtId="0" fontId="0" fillId="0" borderId="0" xfId="0" applyFill="1" applyBorder="1" applyAlignment="1">
      <alignment horizontal="right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center"/>
    </xf>
    <xf numFmtId="169" fontId="0" fillId="0" borderId="0" xfId="0" applyNumberFormat="1" applyFill="1" applyBorder="1"/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262049</xdr:colOff>
      <xdr:row>19</xdr:row>
      <xdr:rowOff>23700</xdr:rowOff>
    </xdr:from>
    <xdr:to>
      <xdr:col>8</xdr:col>
      <xdr:colOff>91347</xdr:colOff>
      <xdr:row>25</xdr:row>
      <xdr:rowOff>95007</xdr:rowOff>
    </xdr:to>
    <xdr:pic macro="[0]!Tnns">
      <xdr:nvPicPr>
        <xdr:cNvPr id="3" name="Graphic 2" descr="Tennis racket and ball with solid fill">
          <a:extLst>
            <a:ext uri="{FF2B5EF4-FFF2-40B4-BE49-F238E27FC236}">
              <a16:creationId xmlns:a16="http://schemas.microsoft.com/office/drawing/2014/main" id="{6945C101-3471-D263-4888-0C2ADEFA1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438739" y="3788982"/>
          <a:ext cx="1230278" cy="1251870"/>
        </a:xfrm>
        <a:prstGeom prst="rect">
          <a:avLst/>
        </a:prstGeom>
      </xdr:spPr>
    </xdr:pic>
    <xdr:clientData/>
  </xdr:twoCellAnchor>
  <xdr:twoCellAnchor editAs="oneCell">
    <xdr:from>
      <xdr:col>6</xdr:col>
      <xdr:colOff>396697</xdr:colOff>
      <xdr:row>33</xdr:row>
      <xdr:rowOff>-1</xdr:rowOff>
    </xdr:from>
    <xdr:to>
      <xdr:col>8</xdr:col>
      <xdr:colOff>226026</xdr:colOff>
      <xdr:row>38</xdr:row>
      <xdr:rowOff>168102</xdr:rowOff>
    </xdr:to>
    <xdr:pic macro="[0]!Tnns1">
      <xdr:nvPicPr>
        <xdr:cNvPr id="5" name="Graphic 4" descr="Tennis racket and ball with solid fill">
          <a:extLst>
            <a:ext uri="{FF2B5EF4-FFF2-40B4-BE49-F238E27FC236}">
              <a16:creationId xmlns:a16="http://schemas.microsoft.com/office/drawing/2014/main" id="{DB71F1BA-3B34-9AC9-5B08-EF7DFBE3B7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573387" y="6519929"/>
          <a:ext cx="1230309" cy="1243169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tennisabstract.com/cgi-bin/player.cgi?p=AlexanderShevchenko" TargetMode="External"/><Relationship Id="rId21" Type="http://schemas.openxmlformats.org/officeDocument/2006/relationships/hyperlink" Target="http://www.tennisabstract.com/cgi-bin/player.cgi?p=AlexDeMinaur" TargetMode="External"/><Relationship Id="rId42" Type="http://schemas.openxmlformats.org/officeDocument/2006/relationships/hyperlink" Target="http://www.tennisabstract.com/cgi-bin/player-classic.cgi?p=FrancesTiafoe&amp;f=" TargetMode="External"/><Relationship Id="rId63" Type="http://schemas.openxmlformats.org/officeDocument/2006/relationships/hyperlink" Target="http://www.tennisabstract.com/cgi-bin/player.cgi?p=ArthurFils" TargetMode="External"/><Relationship Id="rId84" Type="http://schemas.openxmlformats.org/officeDocument/2006/relationships/hyperlink" Target="http://www.tennisabstract.com/cgi-bin/player-classic.cgi?p=RomanSafiullin&amp;f=" TargetMode="External"/><Relationship Id="rId138" Type="http://schemas.openxmlformats.org/officeDocument/2006/relationships/hyperlink" Target="http://www.tennisabstract.com/cgi-bin/player-classic.cgi?p=DanielEvans&amp;f=" TargetMode="External"/><Relationship Id="rId159" Type="http://schemas.openxmlformats.org/officeDocument/2006/relationships/hyperlink" Target="http://www.tennisabstract.com/cgi-bin/player.cgi?p=MaxPurcell" TargetMode="External"/><Relationship Id="rId170" Type="http://schemas.openxmlformats.org/officeDocument/2006/relationships/hyperlink" Target="http://www.tennisabstract.com/cgi-bin/player-classic.cgi?p=TaroDaniel&amp;f=" TargetMode="External"/><Relationship Id="rId191" Type="http://schemas.openxmlformats.org/officeDocument/2006/relationships/hyperlink" Target="http://www.tennisabstract.com/cgi-bin/player.cgi?p=FranciscoComesana" TargetMode="External"/><Relationship Id="rId196" Type="http://schemas.openxmlformats.org/officeDocument/2006/relationships/hyperlink" Target="http://www.tennisabstract.com/cgi-bin/player-classic.cgi?p=MatteoBerrettini&amp;f=" TargetMode="External"/><Relationship Id="rId200" Type="http://schemas.openxmlformats.org/officeDocument/2006/relationships/hyperlink" Target="http://www.tennisabstract.com/cgi-bin/player-classic.cgi?p=MaximilianMarterer&amp;f=" TargetMode="External"/><Relationship Id="rId16" Type="http://schemas.openxmlformats.org/officeDocument/2006/relationships/hyperlink" Target="http://www.tennisabstract.com/cgi-bin/player-classic.cgi?p=AndreyRublev&amp;f=" TargetMode="External"/><Relationship Id="rId107" Type="http://schemas.openxmlformats.org/officeDocument/2006/relationships/hyperlink" Target="http://www.tennisabstract.com/cgi-bin/player.cgi?p=DominikKoepfer" TargetMode="External"/><Relationship Id="rId11" Type="http://schemas.openxmlformats.org/officeDocument/2006/relationships/hyperlink" Target="http://www.tennisabstract.com/cgi-bin/player.cgi?p=CasperRuud" TargetMode="External"/><Relationship Id="rId32" Type="http://schemas.openxmlformats.org/officeDocument/2006/relationships/hyperlink" Target="http://www.tennisabstract.com/cgi-bin/player-classic.cgi?p=TommyPaul&amp;f=" TargetMode="External"/><Relationship Id="rId37" Type="http://schemas.openxmlformats.org/officeDocument/2006/relationships/hyperlink" Target="http://www.tennisabstract.com/cgi-bin/player.cgi?p=SebastianBaez" TargetMode="External"/><Relationship Id="rId53" Type="http://schemas.openxmlformats.org/officeDocument/2006/relationships/hyperlink" Target="http://www.tennisabstract.com/cgi-bin/player.cgi?p=TomasMartinEtcheverry" TargetMode="External"/><Relationship Id="rId58" Type="http://schemas.openxmlformats.org/officeDocument/2006/relationships/hyperlink" Target="http://www.tennisabstract.com/cgi-bin/player-classic.cgi?p=LorenzoMusetti&amp;f=" TargetMode="External"/><Relationship Id="rId74" Type="http://schemas.openxmlformats.org/officeDocument/2006/relationships/hyperlink" Target="http://www.tennisabstract.com/cgi-bin/player-classic.cgi?p=FabianMarozsan&amp;f=" TargetMode="External"/><Relationship Id="rId79" Type="http://schemas.openxmlformats.org/officeDocument/2006/relationships/hyperlink" Target="http://www.tennisabstract.com/cgi-bin/player.cgi?p=GaelMonfils" TargetMode="External"/><Relationship Id="rId102" Type="http://schemas.openxmlformats.org/officeDocument/2006/relationships/hyperlink" Target="http://www.tennisabstract.com/cgi-bin/player-classic.cgi?p=MarcosGiron&amp;f=" TargetMode="External"/><Relationship Id="rId123" Type="http://schemas.openxmlformats.org/officeDocument/2006/relationships/hyperlink" Target="http://www.tennisabstract.com/cgi-bin/player.cgi?p=AleksandarVukic" TargetMode="External"/><Relationship Id="rId128" Type="http://schemas.openxmlformats.org/officeDocument/2006/relationships/hyperlink" Target="http://www.tennisabstract.com/cgi-bin/player-classic.cgi?p=FlavioCobolli&amp;f=" TargetMode="External"/><Relationship Id="rId144" Type="http://schemas.openxmlformats.org/officeDocument/2006/relationships/hyperlink" Target="http://www.tennisabstract.com/cgi-bin/player-classic.cgi?p=PavelKotov&amp;f=" TargetMode="External"/><Relationship Id="rId149" Type="http://schemas.openxmlformats.org/officeDocument/2006/relationships/hyperlink" Target="http://www.tennisabstract.com/cgi-bin/player.cgi?p=ArthurCazaux" TargetMode="External"/><Relationship Id="rId5" Type="http://schemas.openxmlformats.org/officeDocument/2006/relationships/hyperlink" Target="http://www.tennisabstract.com/cgi-bin/player.cgi?p=CarlosAlcaraz" TargetMode="External"/><Relationship Id="rId90" Type="http://schemas.openxmlformats.org/officeDocument/2006/relationships/hyperlink" Target="http://www.tennisabstract.com/cgi-bin/player-classic.cgi?p=SebastianOfner&amp;f=" TargetMode="External"/><Relationship Id="rId95" Type="http://schemas.openxmlformats.org/officeDocument/2006/relationships/hyperlink" Target="http://www.tennisabstract.com/cgi-bin/player.cgi?p=AslanKaratsev" TargetMode="External"/><Relationship Id="rId160" Type="http://schemas.openxmlformats.org/officeDocument/2006/relationships/hyperlink" Target="http://www.tennisabstract.com/cgi-bin/player-classic.cgi?p=MaxPurcell&amp;f=" TargetMode="External"/><Relationship Id="rId165" Type="http://schemas.openxmlformats.org/officeDocument/2006/relationships/hyperlink" Target="http://www.tennisabstract.com/cgi-bin/player.cgi?p=FedericoCoria" TargetMode="External"/><Relationship Id="rId181" Type="http://schemas.openxmlformats.org/officeDocument/2006/relationships/hyperlink" Target="http://www.tennisabstract.com/cgi-bin/player.cgi?p=PedroCachin" TargetMode="External"/><Relationship Id="rId186" Type="http://schemas.openxmlformats.org/officeDocument/2006/relationships/hyperlink" Target="http://www.tennisabstract.com/cgi-bin/player-classic.cgi?p=ThanasiKokkinakis&amp;f=" TargetMode="External"/><Relationship Id="rId22" Type="http://schemas.openxmlformats.org/officeDocument/2006/relationships/hyperlink" Target="http://www.tennisabstract.com/cgi-bin/player-classic.cgi?p=AlexDeMinaur&amp;f=" TargetMode="External"/><Relationship Id="rId27" Type="http://schemas.openxmlformats.org/officeDocument/2006/relationships/hyperlink" Target="http://www.tennisabstract.com/cgi-bin/player.cgi?p=UgoHumbert" TargetMode="External"/><Relationship Id="rId43" Type="http://schemas.openxmlformats.org/officeDocument/2006/relationships/hyperlink" Target="http://www.tennisabstract.com/cgi-bin/player.cgi?p=FranciscoCerundolo" TargetMode="External"/><Relationship Id="rId48" Type="http://schemas.openxmlformats.org/officeDocument/2006/relationships/hyperlink" Target="http://www.tennisabstract.com/cgi-bin/player-classic.cgi?p=JanLennardStruff&amp;f=" TargetMode="External"/><Relationship Id="rId64" Type="http://schemas.openxmlformats.org/officeDocument/2006/relationships/hyperlink" Target="http://www.tennisabstract.com/cgi-bin/player-classic.cgi?p=ArthurFils&amp;f=" TargetMode="External"/><Relationship Id="rId69" Type="http://schemas.openxmlformats.org/officeDocument/2006/relationships/hyperlink" Target="http://www.tennisabstract.com/cgi-bin/player.cgi?p=FelixAugerAliassime" TargetMode="External"/><Relationship Id="rId113" Type="http://schemas.openxmlformats.org/officeDocument/2006/relationships/hyperlink" Target="http://www.tennisabstract.com/cgi-bin/player.cgi?p=AndyMurray" TargetMode="External"/><Relationship Id="rId118" Type="http://schemas.openxmlformats.org/officeDocument/2006/relationships/hyperlink" Target="http://www.tennisabstract.com/cgi-bin/player-classic.cgi?p=AlexanderShevchenko&amp;f=" TargetMode="External"/><Relationship Id="rId134" Type="http://schemas.openxmlformats.org/officeDocument/2006/relationships/hyperlink" Target="http://www.tennisabstract.com/cgi-bin/player-classic.cgi?p=ChristopherOconnell&amp;f=" TargetMode="External"/><Relationship Id="rId139" Type="http://schemas.openxmlformats.org/officeDocument/2006/relationships/hyperlink" Target="http://www.tennisabstract.com/cgi-bin/player.cgi?p=AlexMichelsen" TargetMode="External"/><Relationship Id="rId80" Type="http://schemas.openxmlformats.org/officeDocument/2006/relationships/hyperlink" Target="http://www.tennisabstract.com/cgi-bin/player-classic.cgi?p=GaelMonfils&amp;f=" TargetMode="External"/><Relationship Id="rId85" Type="http://schemas.openxmlformats.org/officeDocument/2006/relationships/hyperlink" Target="http://www.tennisabstract.com/cgi-bin/player.cgi?p=JackDraper" TargetMode="External"/><Relationship Id="rId150" Type="http://schemas.openxmlformats.org/officeDocument/2006/relationships/hyperlink" Target="http://www.tennisabstract.com/cgi-bin/player-classic.cgi?p=ArthurCazaux&amp;f=" TargetMode="External"/><Relationship Id="rId155" Type="http://schemas.openxmlformats.org/officeDocument/2006/relationships/hyperlink" Target="http://www.tennisabstract.com/cgi-bin/player.cgi?p=YoshihitoNishioka" TargetMode="External"/><Relationship Id="rId171" Type="http://schemas.openxmlformats.org/officeDocument/2006/relationships/hyperlink" Target="http://www.tennisabstract.com/cgi-bin/player.cgi?p=RobertoBautistaAgut" TargetMode="External"/><Relationship Id="rId176" Type="http://schemas.openxmlformats.org/officeDocument/2006/relationships/hyperlink" Target="http://www.tennisabstract.com/cgi-bin/player-classic.cgi?p=CorentinMoutet&amp;f=" TargetMode="External"/><Relationship Id="rId192" Type="http://schemas.openxmlformats.org/officeDocument/2006/relationships/hyperlink" Target="http://www.tennisabstract.com/cgi-bin/player-classic.cgi?p=FranciscoComesana&amp;f=" TargetMode="External"/><Relationship Id="rId197" Type="http://schemas.openxmlformats.org/officeDocument/2006/relationships/hyperlink" Target="http://www.tennisabstract.com/cgi-bin/player.cgi?p=LucaVanAssche" TargetMode="External"/><Relationship Id="rId12" Type="http://schemas.openxmlformats.org/officeDocument/2006/relationships/hyperlink" Target="http://www.tennisabstract.com/cgi-bin/player-classic.cgi?p=CasperRuud&amp;f=" TargetMode="External"/><Relationship Id="rId17" Type="http://schemas.openxmlformats.org/officeDocument/2006/relationships/hyperlink" Target="http://www.tennisabstract.com/cgi-bin/player.cgi?p=HubertHurkacz" TargetMode="External"/><Relationship Id="rId33" Type="http://schemas.openxmlformats.org/officeDocument/2006/relationships/hyperlink" Target="http://www.tennisabstract.com/cgi-bin/player.cgi?p=KarenKhachanov" TargetMode="External"/><Relationship Id="rId38" Type="http://schemas.openxmlformats.org/officeDocument/2006/relationships/hyperlink" Target="http://www.tennisabstract.com/cgi-bin/player-classic.cgi?p=SebastianBaez&amp;f=" TargetMode="External"/><Relationship Id="rId59" Type="http://schemas.openxmlformats.org/officeDocument/2006/relationships/hyperlink" Target="http://www.tennisabstract.com/cgi-bin/player.cgi?p=CameronNorrie" TargetMode="External"/><Relationship Id="rId103" Type="http://schemas.openxmlformats.org/officeDocument/2006/relationships/hyperlink" Target="http://www.tennisabstract.com/cgi-bin/player.cgi?p=LorenzoSonego" TargetMode="External"/><Relationship Id="rId108" Type="http://schemas.openxmlformats.org/officeDocument/2006/relationships/hyperlink" Target="http://www.tennisabstract.com/cgi-bin/player-classic.cgi?p=DominikKoepfer&amp;f=" TargetMode="External"/><Relationship Id="rId124" Type="http://schemas.openxmlformats.org/officeDocument/2006/relationships/hyperlink" Target="http://www.tennisabstract.com/cgi-bin/player-classic.cgi?p=AleksandarVukic&amp;f=" TargetMode="External"/><Relationship Id="rId129" Type="http://schemas.openxmlformats.org/officeDocument/2006/relationships/hyperlink" Target="http://www.tennisabstract.com/cgi-bin/player.cgi?p=DusanLajovic" TargetMode="External"/><Relationship Id="rId54" Type="http://schemas.openxmlformats.org/officeDocument/2006/relationships/hyperlink" Target="http://www.tennisabstract.com/cgi-bin/player-classic.cgi?p=TomasMartinEtcheverry&amp;f=" TargetMode="External"/><Relationship Id="rId70" Type="http://schemas.openxmlformats.org/officeDocument/2006/relationships/hyperlink" Target="http://www.tennisabstract.com/cgi-bin/player-classic.cgi?p=FelixAugerAliassime&amp;f=" TargetMode="External"/><Relationship Id="rId75" Type="http://schemas.openxmlformats.org/officeDocument/2006/relationships/hyperlink" Target="http://www.tennisabstract.com/cgi-bin/player.cgi?p=AlejandroTabilo" TargetMode="External"/><Relationship Id="rId91" Type="http://schemas.openxmlformats.org/officeDocument/2006/relationships/hyperlink" Target="http://www.tennisabstract.com/cgi-bin/player.cgi?p=AlexeiPopyrin" TargetMode="External"/><Relationship Id="rId96" Type="http://schemas.openxmlformats.org/officeDocument/2006/relationships/hyperlink" Target="http://www.tennisabstract.com/cgi-bin/player-classic.cgi?p=AslanKaratsev&amp;f=" TargetMode="External"/><Relationship Id="rId140" Type="http://schemas.openxmlformats.org/officeDocument/2006/relationships/hyperlink" Target="http://www.tennisabstract.com/cgi-bin/player-classic.cgi?p=AlexMichelsen&amp;f=" TargetMode="External"/><Relationship Id="rId145" Type="http://schemas.openxmlformats.org/officeDocument/2006/relationships/hyperlink" Target="http://www.tennisabstract.com/cgi-bin/player.cgi?p=JaumeMunar" TargetMode="External"/><Relationship Id="rId161" Type="http://schemas.openxmlformats.org/officeDocument/2006/relationships/hyperlink" Target="http://www.tennisabstract.com/cgi-bin/player.cgi?p=BrandonNakashima" TargetMode="External"/><Relationship Id="rId166" Type="http://schemas.openxmlformats.org/officeDocument/2006/relationships/hyperlink" Target="http://www.tennisabstract.com/cgi-bin/player-classic.cgi?p=FedericoCoria&amp;f=" TargetMode="External"/><Relationship Id="rId182" Type="http://schemas.openxmlformats.org/officeDocument/2006/relationships/hyperlink" Target="http://www.tennisabstract.com/cgi-bin/player-classic.cgi?p=PedroCachin&amp;f=" TargetMode="External"/><Relationship Id="rId187" Type="http://schemas.openxmlformats.org/officeDocument/2006/relationships/hyperlink" Target="http://www.tennisabstract.com/cgi-bin/player.cgi?p=FabioFognini" TargetMode="External"/><Relationship Id="rId1" Type="http://schemas.openxmlformats.org/officeDocument/2006/relationships/hyperlink" Target="http://www.tennisabstract.com/cgi-bin/player.cgi?p=NovakDjokovic" TargetMode="External"/><Relationship Id="rId6" Type="http://schemas.openxmlformats.org/officeDocument/2006/relationships/hyperlink" Target="http://www.tennisabstract.com/cgi-bin/player-classic.cgi?p=CarlosAlcaraz&amp;f=" TargetMode="External"/><Relationship Id="rId23" Type="http://schemas.openxmlformats.org/officeDocument/2006/relationships/hyperlink" Target="http://www.tennisabstract.com/cgi-bin/player.cgi?p=HolgerRune" TargetMode="External"/><Relationship Id="rId28" Type="http://schemas.openxmlformats.org/officeDocument/2006/relationships/hyperlink" Target="http://www.tennisabstract.com/cgi-bin/player-classic.cgi?p=UgoHumbert&amp;f=" TargetMode="External"/><Relationship Id="rId49" Type="http://schemas.openxmlformats.org/officeDocument/2006/relationships/hyperlink" Target="http://www.tennisabstract.com/cgi-bin/player.cgi?p=TallonGriekspoor" TargetMode="External"/><Relationship Id="rId114" Type="http://schemas.openxmlformats.org/officeDocument/2006/relationships/hyperlink" Target="http://www.tennisabstract.com/cgi-bin/player-classic.cgi?p=AndyMurray&amp;f=" TargetMode="External"/><Relationship Id="rId119" Type="http://schemas.openxmlformats.org/officeDocument/2006/relationships/hyperlink" Target="http://www.tennisabstract.com/cgi-bin/player.cgi?p=LucianoDarderi" TargetMode="External"/><Relationship Id="rId44" Type="http://schemas.openxmlformats.org/officeDocument/2006/relationships/hyperlink" Target="http://www.tennisabstract.com/cgi-bin/player-classic.cgi?p=FranciscoCerundolo&amp;f=" TargetMode="External"/><Relationship Id="rId60" Type="http://schemas.openxmlformats.org/officeDocument/2006/relationships/hyperlink" Target="http://www.tennisabstract.com/cgi-bin/player-classic.cgi?p=CameronNorrie&amp;f=" TargetMode="External"/><Relationship Id="rId65" Type="http://schemas.openxmlformats.org/officeDocument/2006/relationships/hyperlink" Target="http://www.tennisabstract.com/cgi-bin/player.cgi?p=JordanThompson" TargetMode="External"/><Relationship Id="rId81" Type="http://schemas.openxmlformats.org/officeDocument/2006/relationships/hyperlink" Target="http://www.tennisabstract.com/cgi-bin/player.cgi?p=MarianoNavone" TargetMode="External"/><Relationship Id="rId86" Type="http://schemas.openxmlformats.org/officeDocument/2006/relationships/hyperlink" Target="http://www.tennisabstract.com/cgi-bin/player-classic.cgi?p=JackDraper&amp;f=" TargetMode="External"/><Relationship Id="rId130" Type="http://schemas.openxmlformats.org/officeDocument/2006/relationships/hyperlink" Target="http://www.tennisabstract.com/cgi-bin/player-classic.cgi?p=DusanLajovic&amp;f=" TargetMode="External"/><Relationship Id="rId135" Type="http://schemas.openxmlformats.org/officeDocument/2006/relationships/hyperlink" Target="http://www.tennisabstract.com/cgi-bin/player.cgi?p=RobertoCarballesBaena" TargetMode="External"/><Relationship Id="rId151" Type="http://schemas.openxmlformats.org/officeDocument/2006/relationships/hyperlink" Target="http://www.tennisabstract.com/cgi-bin/player.cgi?p=MackenzieMcdonald" TargetMode="External"/><Relationship Id="rId156" Type="http://schemas.openxmlformats.org/officeDocument/2006/relationships/hyperlink" Target="http://www.tennisabstract.com/cgi-bin/player-classic.cgi?p=YoshihitoNishioka&amp;f=" TargetMode="External"/><Relationship Id="rId177" Type="http://schemas.openxmlformats.org/officeDocument/2006/relationships/hyperlink" Target="http://www.tennisabstract.com/cgi-bin/player.cgi?p=DanielElahiGalan" TargetMode="External"/><Relationship Id="rId198" Type="http://schemas.openxmlformats.org/officeDocument/2006/relationships/hyperlink" Target="http://www.tennisabstract.com/cgi-bin/player-classic.cgi?p=LucaVanAssche&amp;f=" TargetMode="External"/><Relationship Id="rId172" Type="http://schemas.openxmlformats.org/officeDocument/2006/relationships/hyperlink" Target="http://www.tennisabstract.com/cgi-bin/player-classic.cgi?p=RobertoBautistaAgut&amp;f=" TargetMode="External"/><Relationship Id="rId193" Type="http://schemas.openxmlformats.org/officeDocument/2006/relationships/hyperlink" Target="http://www.tennisabstract.com/cgi-bin/player.cgi?p=AleksandarKovacevic" TargetMode="External"/><Relationship Id="rId13" Type="http://schemas.openxmlformats.org/officeDocument/2006/relationships/hyperlink" Target="http://www.tennisabstract.com/cgi-bin/player.cgi?p=StefanosTsitsipas" TargetMode="External"/><Relationship Id="rId18" Type="http://schemas.openxmlformats.org/officeDocument/2006/relationships/hyperlink" Target="http://www.tennisabstract.com/cgi-bin/player-classic.cgi?p=HubertHurkacz&amp;f=" TargetMode="External"/><Relationship Id="rId39" Type="http://schemas.openxmlformats.org/officeDocument/2006/relationships/hyperlink" Target="http://www.tennisabstract.com/cgi-bin/player.cgi?p=AdrianMannarino" TargetMode="External"/><Relationship Id="rId109" Type="http://schemas.openxmlformats.org/officeDocument/2006/relationships/hyperlink" Target="http://www.tennisabstract.com/cgi-bin/player.cgi?p=PedroMartinez" TargetMode="External"/><Relationship Id="rId34" Type="http://schemas.openxmlformats.org/officeDocument/2006/relationships/hyperlink" Target="http://www.tennisabstract.com/cgi-bin/player-classic.cgi?p=KarenKhachanov&amp;f=" TargetMode="External"/><Relationship Id="rId50" Type="http://schemas.openxmlformats.org/officeDocument/2006/relationships/hyperlink" Target="http://www.tennisabstract.com/cgi-bin/player-classic.cgi?p=TallonGriekspoor&amp;f=" TargetMode="External"/><Relationship Id="rId55" Type="http://schemas.openxmlformats.org/officeDocument/2006/relationships/hyperlink" Target="http://www.tennisabstract.com/cgi-bin/player.cgi?p=AlejandroDavidovichFokina" TargetMode="External"/><Relationship Id="rId76" Type="http://schemas.openxmlformats.org/officeDocument/2006/relationships/hyperlink" Target="http://www.tennisabstract.com/cgi-bin/player-classic.cgi?p=AlejandroTabilo&amp;f=" TargetMode="External"/><Relationship Id="rId97" Type="http://schemas.openxmlformats.org/officeDocument/2006/relationships/hyperlink" Target="http://www.tennisabstract.com/cgi-bin/player.cgi?p=ZhizhenZhang" TargetMode="External"/><Relationship Id="rId104" Type="http://schemas.openxmlformats.org/officeDocument/2006/relationships/hyperlink" Target="http://www.tennisabstract.com/cgi-bin/player-classic.cgi?p=LorenzoSonego&amp;f=" TargetMode="External"/><Relationship Id="rId120" Type="http://schemas.openxmlformats.org/officeDocument/2006/relationships/hyperlink" Target="http://www.tennisabstract.com/cgi-bin/player-classic.cgi?p=LucianoDarderi&amp;f=" TargetMode="External"/><Relationship Id="rId125" Type="http://schemas.openxmlformats.org/officeDocument/2006/relationships/hyperlink" Target="http://www.tennisabstract.com/cgi-bin/player.cgi?p=ThiagoSeybothWild" TargetMode="External"/><Relationship Id="rId141" Type="http://schemas.openxmlformats.org/officeDocument/2006/relationships/hyperlink" Target="http://www.tennisabstract.com/cgi-bin/player.cgi?p=EmilRuusuvuori" TargetMode="External"/><Relationship Id="rId146" Type="http://schemas.openxmlformats.org/officeDocument/2006/relationships/hyperlink" Target="http://www.tennisabstract.com/cgi-bin/player-classic.cgi?p=JaumeMunar&amp;f=" TargetMode="External"/><Relationship Id="rId167" Type="http://schemas.openxmlformats.org/officeDocument/2006/relationships/hyperlink" Target="http://www.tennisabstract.com/cgi-bin/player.cgi?p=LucaNardi" TargetMode="External"/><Relationship Id="rId188" Type="http://schemas.openxmlformats.org/officeDocument/2006/relationships/hyperlink" Target="http://www.tennisabstract.com/cgi-bin/player-classic.cgi?p=FabioFognini&amp;f=" TargetMode="External"/><Relationship Id="rId7" Type="http://schemas.openxmlformats.org/officeDocument/2006/relationships/hyperlink" Target="http://www.tennisabstract.com/cgi-bin/player.cgi?p=DaniilMedvedev" TargetMode="External"/><Relationship Id="rId71" Type="http://schemas.openxmlformats.org/officeDocument/2006/relationships/hyperlink" Target="http://www.tennisabstract.com/cgi-bin/player.cgi?p=MatteoArnaldi" TargetMode="External"/><Relationship Id="rId92" Type="http://schemas.openxmlformats.org/officeDocument/2006/relationships/hyperlink" Target="http://www.tennisabstract.com/cgi-bin/player-classic.cgi?p=AlexeiPopyrin&amp;f=" TargetMode="External"/><Relationship Id="rId162" Type="http://schemas.openxmlformats.org/officeDocument/2006/relationships/hyperlink" Target="http://www.tennisabstract.com/cgi-bin/player-classic.cgi?p=BrandonNakashima&amp;f=" TargetMode="External"/><Relationship Id="rId183" Type="http://schemas.openxmlformats.org/officeDocument/2006/relationships/hyperlink" Target="http://www.tennisabstract.com/cgi-bin/player.cgi?p=CristianGarin" TargetMode="External"/><Relationship Id="rId2" Type="http://schemas.openxmlformats.org/officeDocument/2006/relationships/hyperlink" Target="http://www.tennisabstract.com/cgi-bin/player-classic.cgi?p=NovakDjokovic&amp;f=" TargetMode="External"/><Relationship Id="rId29" Type="http://schemas.openxmlformats.org/officeDocument/2006/relationships/hyperlink" Target="http://www.tennisabstract.com/cgi-bin/player.cgi?p=BenShelton" TargetMode="External"/><Relationship Id="rId24" Type="http://schemas.openxmlformats.org/officeDocument/2006/relationships/hyperlink" Target="http://www.tennisabstract.com/cgi-bin/player-classic.cgi?p=HolgerRune&amp;f=" TargetMode="External"/><Relationship Id="rId40" Type="http://schemas.openxmlformats.org/officeDocument/2006/relationships/hyperlink" Target="http://www.tennisabstract.com/cgi-bin/player-classic.cgi?p=AdrianMannarino&amp;f=" TargetMode="External"/><Relationship Id="rId45" Type="http://schemas.openxmlformats.org/officeDocument/2006/relationships/hyperlink" Target="http://www.tennisabstract.com/cgi-bin/player.cgi?p=NicolasJarry" TargetMode="External"/><Relationship Id="rId66" Type="http://schemas.openxmlformats.org/officeDocument/2006/relationships/hyperlink" Target="http://www.tennisabstract.com/cgi-bin/player-classic.cgi?p=JordanThompson&amp;f=" TargetMode="External"/><Relationship Id="rId87" Type="http://schemas.openxmlformats.org/officeDocument/2006/relationships/hyperlink" Target="http://www.tennisabstract.com/cgi-bin/player.cgi?p=ChristopherEubanks" TargetMode="External"/><Relationship Id="rId110" Type="http://schemas.openxmlformats.org/officeDocument/2006/relationships/hyperlink" Target="http://www.tennisabstract.com/cgi-bin/player-classic.cgi?p=PedroMartinez&amp;f=" TargetMode="External"/><Relationship Id="rId115" Type="http://schemas.openxmlformats.org/officeDocument/2006/relationships/hyperlink" Target="http://www.tennisabstract.com/cgi-bin/player.cgi?p=YannickHanfmann" TargetMode="External"/><Relationship Id="rId131" Type="http://schemas.openxmlformats.org/officeDocument/2006/relationships/hyperlink" Target="http://www.tennisabstract.com/cgi-bin/player.cgi?p=MiomirKecmanovic" TargetMode="External"/><Relationship Id="rId136" Type="http://schemas.openxmlformats.org/officeDocument/2006/relationships/hyperlink" Target="http://www.tennisabstract.com/cgi-bin/player-classic.cgi?p=RobertoCarballesBaena&amp;f=" TargetMode="External"/><Relationship Id="rId157" Type="http://schemas.openxmlformats.org/officeDocument/2006/relationships/hyperlink" Target="http://www.tennisabstract.com/cgi-bin/player.cgi?p=RinkyHijikata" TargetMode="External"/><Relationship Id="rId178" Type="http://schemas.openxmlformats.org/officeDocument/2006/relationships/hyperlink" Target="http://www.tennisabstract.com/cgi-bin/player-classic.cgi?p=DanielElahiGalan&amp;f=" TargetMode="External"/><Relationship Id="rId61" Type="http://schemas.openxmlformats.org/officeDocument/2006/relationships/hyperlink" Target="http://www.tennisabstract.com/cgi-bin/player.cgi?p=JiriLehecka" TargetMode="External"/><Relationship Id="rId82" Type="http://schemas.openxmlformats.org/officeDocument/2006/relationships/hyperlink" Target="http://www.tennisabstract.com/cgi-bin/player-classic.cgi?p=MarianoNavone&amp;f=" TargetMode="External"/><Relationship Id="rId152" Type="http://schemas.openxmlformats.org/officeDocument/2006/relationships/hyperlink" Target="http://www.tennisabstract.com/cgi-bin/player-classic.cgi?p=MackenzieMcdonald&amp;f=" TargetMode="External"/><Relationship Id="rId173" Type="http://schemas.openxmlformats.org/officeDocument/2006/relationships/hyperlink" Target="http://www.tennisabstract.com/cgi-bin/player.cgi?p=StanWawrinka" TargetMode="External"/><Relationship Id="rId194" Type="http://schemas.openxmlformats.org/officeDocument/2006/relationships/hyperlink" Target="http://www.tennisabstract.com/cgi-bin/player-classic.cgi?p=AleksandarKovacevic&amp;f=" TargetMode="External"/><Relationship Id="rId199" Type="http://schemas.openxmlformats.org/officeDocument/2006/relationships/hyperlink" Target="http://www.tennisabstract.com/cgi-bin/player.cgi?p=MaximilianMarterer" TargetMode="External"/><Relationship Id="rId19" Type="http://schemas.openxmlformats.org/officeDocument/2006/relationships/hyperlink" Target="http://www.tennisabstract.com/cgi-bin/player.cgi?p=GrigorDimitrov" TargetMode="External"/><Relationship Id="rId14" Type="http://schemas.openxmlformats.org/officeDocument/2006/relationships/hyperlink" Target="http://www.tennisabstract.com/cgi-bin/player-classic.cgi?p=StefanosTsitsipas&amp;f=" TargetMode="External"/><Relationship Id="rId30" Type="http://schemas.openxmlformats.org/officeDocument/2006/relationships/hyperlink" Target="http://www.tennisabstract.com/cgi-bin/player-classic.cgi?p=BenShelton&amp;f=" TargetMode="External"/><Relationship Id="rId35" Type="http://schemas.openxmlformats.org/officeDocument/2006/relationships/hyperlink" Target="http://www.tennisabstract.com/cgi-bin/player.cgi?p=AlexanderBublik" TargetMode="External"/><Relationship Id="rId56" Type="http://schemas.openxmlformats.org/officeDocument/2006/relationships/hyperlink" Target="http://www.tennisabstract.com/cgi-bin/player-classic.cgi?p=AlejandroDavidovichFokina&amp;f=" TargetMode="External"/><Relationship Id="rId77" Type="http://schemas.openxmlformats.org/officeDocument/2006/relationships/hyperlink" Target="http://www.tennisabstract.com/cgi-bin/player.cgi?p=LasloDjere" TargetMode="External"/><Relationship Id="rId100" Type="http://schemas.openxmlformats.org/officeDocument/2006/relationships/hyperlink" Target="http://www.tennisabstract.com/cgi-bin/player-classic.cgi?p=TomasMachac&amp;f=" TargetMode="External"/><Relationship Id="rId105" Type="http://schemas.openxmlformats.org/officeDocument/2006/relationships/hyperlink" Target="http://www.tennisabstract.com/cgi-bin/player.cgi?p=MartonFucsovics" TargetMode="External"/><Relationship Id="rId126" Type="http://schemas.openxmlformats.org/officeDocument/2006/relationships/hyperlink" Target="http://www.tennisabstract.com/cgi-bin/player-classic.cgi?p=ThiagoSeybothWild&amp;f=" TargetMode="External"/><Relationship Id="rId147" Type="http://schemas.openxmlformats.org/officeDocument/2006/relationships/hyperlink" Target="http://www.tennisabstract.com/cgi-bin/player.cgi?p=JakubMensik" TargetMode="External"/><Relationship Id="rId168" Type="http://schemas.openxmlformats.org/officeDocument/2006/relationships/hyperlink" Target="http://www.tennisabstract.com/cgi-bin/player-classic.cgi?p=LucaNardi&amp;f=" TargetMode="External"/><Relationship Id="rId8" Type="http://schemas.openxmlformats.org/officeDocument/2006/relationships/hyperlink" Target="http://www.tennisabstract.com/cgi-bin/player-classic.cgi?p=DaniilMedvedev&amp;f=" TargetMode="External"/><Relationship Id="rId51" Type="http://schemas.openxmlformats.org/officeDocument/2006/relationships/hyperlink" Target="http://www.tennisabstract.com/cgi-bin/player.cgi?p=SebastianKorda" TargetMode="External"/><Relationship Id="rId72" Type="http://schemas.openxmlformats.org/officeDocument/2006/relationships/hyperlink" Target="http://www.tennisabstract.com/cgi-bin/player-classic.cgi?p=MatteoArnaldi&amp;f=" TargetMode="External"/><Relationship Id="rId93" Type="http://schemas.openxmlformats.org/officeDocument/2006/relationships/hyperlink" Target="http://www.tennisabstract.com/cgi-bin/player.cgi?p=FacundoDiazAcosta" TargetMode="External"/><Relationship Id="rId98" Type="http://schemas.openxmlformats.org/officeDocument/2006/relationships/hyperlink" Target="http://www.tennisabstract.com/cgi-bin/player-classic.cgi?p=ZhizhenZhang&amp;f=" TargetMode="External"/><Relationship Id="rId121" Type="http://schemas.openxmlformats.org/officeDocument/2006/relationships/hyperlink" Target="http://www.tennisabstract.com/cgi-bin/player.cgi?p=DanielAltmaier" TargetMode="External"/><Relationship Id="rId142" Type="http://schemas.openxmlformats.org/officeDocument/2006/relationships/hyperlink" Target="http://www.tennisabstract.com/cgi-bin/player-classic.cgi?p=EmilRuusuvuori&amp;f=" TargetMode="External"/><Relationship Id="rId163" Type="http://schemas.openxmlformats.org/officeDocument/2006/relationships/hyperlink" Target="http://www.tennisabstract.com/cgi-bin/player.cgi?p=SumitNagal" TargetMode="External"/><Relationship Id="rId184" Type="http://schemas.openxmlformats.org/officeDocument/2006/relationships/hyperlink" Target="http://www.tennisabstract.com/cgi-bin/player-classic.cgi?p=CristianGarin&amp;f=" TargetMode="External"/><Relationship Id="rId189" Type="http://schemas.openxmlformats.org/officeDocument/2006/relationships/hyperlink" Target="http://www.tennisabstract.com/cgi-bin/player.cgi?p=HugoGaston" TargetMode="External"/><Relationship Id="rId3" Type="http://schemas.openxmlformats.org/officeDocument/2006/relationships/hyperlink" Target="http://www.tennisabstract.com/cgi-bin/player.cgi?p=JannikSinner" TargetMode="External"/><Relationship Id="rId25" Type="http://schemas.openxmlformats.org/officeDocument/2006/relationships/hyperlink" Target="http://www.tennisabstract.com/cgi-bin/player.cgi?p=TaylorFritz" TargetMode="External"/><Relationship Id="rId46" Type="http://schemas.openxmlformats.org/officeDocument/2006/relationships/hyperlink" Target="http://www.tennisabstract.com/cgi-bin/player-classic.cgi?p=NicolasJarry&amp;f=" TargetMode="External"/><Relationship Id="rId67" Type="http://schemas.openxmlformats.org/officeDocument/2006/relationships/hyperlink" Target="http://www.tennisabstract.com/cgi-bin/player.cgi?p=BornaCoric" TargetMode="External"/><Relationship Id="rId116" Type="http://schemas.openxmlformats.org/officeDocument/2006/relationships/hyperlink" Target="http://www.tennisabstract.com/cgi-bin/player-classic.cgi?p=YannickHanfmann&amp;f=" TargetMode="External"/><Relationship Id="rId137" Type="http://schemas.openxmlformats.org/officeDocument/2006/relationships/hyperlink" Target="http://www.tennisabstract.com/cgi-bin/player.cgi?p=DanielEvans" TargetMode="External"/><Relationship Id="rId158" Type="http://schemas.openxmlformats.org/officeDocument/2006/relationships/hyperlink" Target="http://www.tennisabstract.com/cgi-bin/player-classic.cgi?p=RinkyHijikata&amp;f=" TargetMode="External"/><Relationship Id="rId20" Type="http://schemas.openxmlformats.org/officeDocument/2006/relationships/hyperlink" Target="http://www.tennisabstract.com/cgi-bin/player-classic.cgi?p=GrigorDimitrov&amp;f=" TargetMode="External"/><Relationship Id="rId41" Type="http://schemas.openxmlformats.org/officeDocument/2006/relationships/hyperlink" Target="http://www.tennisabstract.com/cgi-bin/player.cgi?p=FrancesTiafoe" TargetMode="External"/><Relationship Id="rId62" Type="http://schemas.openxmlformats.org/officeDocument/2006/relationships/hyperlink" Target="http://www.tennisabstract.com/cgi-bin/player-classic.cgi?p=JiriLehecka&amp;f=" TargetMode="External"/><Relationship Id="rId83" Type="http://schemas.openxmlformats.org/officeDocument/2006/relationships/hyperlink" Target="http://www.tennisabstract.com/cgi-bin/player.cgi?p=RomanSafiullin" TargetMode="External"/><Relationship Id="rId88" Type="http://schemas.openxmlformats.org/officeDocument/2006/relationships/hyperlink" Target="http://www.tennisabstract.com/cgi-bin/player-classic.cgi?p=ChristopherEubanks&amp;f=" TargetMode="External"/><Relationship Id="rId111" Type="http://schemas.openxmlformats.org/officeDocument/2006/relationships/hyperlink" Target="http://www.tennisabstract.com/cgi-bin/player.cgi?p=NunoBorges" TargetMode="External"/><Relationship Id="rId132" Type="http://schemas.openxmlformats.org/officeDocument/2006/relationships/hyperlink" Target="http://www.tennisabstract.com/cgi-bin/player-classic.cgi?p=MiomirKecmanovic&amp;f=" TargetMode="External"/><Relationship Id="rId153" Type="http://schemas.openxmlformats.org/officeDocument/2006/relationships/hyperlink" Target="http://www.tennisabstract.com/cgi-bin/player.cgi?p=ArthurRinderknech" TargetMode="External"/><Relationship Id="rId174" Type="http://schemas.openxmlformats.org/officeDocument/2006/relationships/hyperlink" Target="http://www.tennisabstract.com/cgi-bin/player-classic.cgi?p=StanWawrinka&amp;f=" TargetMode="External"/><Relationship Id="rId179" Type="http://schemas.openxmlformats.org/officeDocument/2006/relationships/hyperlink" Target="http://www.tennisabstract.com/cgi-bin/player.cgi?p=ConstantLestienne" TargetMode="External"/><Relationship Id="rId195" Type="http://schemas.openxmlformats.org/officeDocument/2006/relationships/hyperlink" Target="http://www.tennisabstract.com/cgi-bin/player.cgi?p=MatteoBerrettini" TargetMode="External"/><Relationship Id="rId190" Type="http://schemas.openxmlformats.org/officeDocument/2006/relationships/hyperlink" Target="http://www.tennisabstract.com/cgi-bin/player-classic.cgi?p=HugoGaston&amp;f=" TargetMode="External"/><Relationship Id="rId15" Type="http://schemas.openxmlformats.org/officeDocument/2006/relationships/hyperlink" Target="http://www.tennisabstract.com/cgi-bin/player.cgi?p=AndreyRublev" TargetMode="External"/><Relationship Id="rId36" Type="http://schemas.openxmlformats.org/officeDocument/2006/relationships/hyperlink" Target="http://www.tennisabstract.com/cgi-bin/player-classic.cgi?p=AlexanderBublik&amp;f=" TargetMode="External"/><Relationship Id="rId57" Type="http://schemas.openxmlformats.org/officeDocument/2006/relationships/hyperlink" Target="http://www.tennisabstract.com/cgi-bin/player.cgi?p=LorenzoMusetti" TargetMode="External"/><Relationship Id="rId106" Type="http://schemas.openxmlformats.org/officeDocument/2006/relationships/hyperlink" Target="http://www.tennisabstract.com/cgi-bin/player-classic.cgi?p=MartonFucsovics&amp;f=" TargetMode="External"/><Relationship Id="rId127" Type="http://schemas.openxmlformats.org/officeDocument/2006/relationships/hyperlink" Target="http://www.tennisabstract.com/cgi-bin/player.cgi?p=FlavioCobolli" TargetMode="External"/><Relationship Id="rId10" Type="http://schemas.openxmlformats.org/officeDocument/2006/relationships/hyperlink" Target="http://www.tennisabstract.com/cgi-bin/player-classic.cgi?p=AlexanderZverev&amp;f=" TargetMode="External"/><Relationship Id="rId31" Type="http://schemas.openxmlformats.org/officeDocument/2006/relationships/hyperlink" Target="http://www.tennisabstract.com/cgi-bin/player.cgi?p=TommyPaul" TargetMode="External"/><Relationship Id="rId52" Type="http://schemas.openxmlformats.org/officeDocument/2006/relationships/hyperlink" Target="http://www.tennisabstract.com/cgi-bin/player-classic.cgi?p=SebastianKorda&amp;f=" TargetMode="External"/><Relationship Id="rId73" Type="http://schemas.openxmlformats.org/officeDocument/2006/relationships/hyperlink" Target="http://www.tennisabstract.com/cgi-bin/player.cgi?p=FabianMarozsan" TargetMode="External"/><Relationship Id="rId78" Type="http://schemas.openxmlformats.org/officeDocument/2006/relationships/hyperlink" Target="http://www.tennisabstract.com/cgi-bin/player-classic.cgi?p=LasloDjere&amp;f=" TargetMode="External"/><Relationship Id="rId94" Type="http://schemas.openxmlformats.org/officeDocument/2006/relationships/hyperlink" Target="http://www.tennisabstract.com/cgi-bin/player-classic.cgi?p=FacundoDiazAcosta&amp;f=" TargetMode="External"/><Relationship Id="rId99" Type="http://schemas.openxmlformats.org/officeDocument/2006/relationships/hyperlink" Target="http://www.tennisabstract.com/cgi-bin/player.cgi?p=TomasMachac" TargetMode="External"/><Relationship Id="rId101" Type="http://schemas.openxmlformats.org/officeDocument/2006/relationships/hyperlink" Target="http://www.tennisabstract.com/cgi-bin/player.cgi?p=MarcosGiron" TargetMode="External"/><Relationship Id="rId122" Type="http://schemas.openxmlformats.org/officeDocument/2006/relationships/hyperlink" Target="http://www.tennisabstract.com/cgi-bin/player-classic.cgi?p=DanielAltmaier&amp;f=" TargetMode="External"/><Relationship Id="rId143" Type="http://schemas.openxmlformats.org/officeDocument/2006/relationships/hyperlink" Target="http://www.tennisabstract.com/cgi-bin/player.cgi?p=PavelKotov" TargetMode="External"/><Relationship Id="rId148" Type="http://schemas.openxmlformats.org/officeDocument/2006/relationships/hyperlink" Target="http://www.tennisabstract.com/cgi-bin/player-classic.cgi?p=JakubMensik&amp;f=" TargetMode="External"/><Relationship Id="rId164" Type="http://schemas.openxmlformats.org/officeDocument/2006/relationships/hyperlink" Target="http://www.tennisabstract.com/cgi-bin/player-classic.cgi?p=SumitNagal&amp;f=" TargetMode="External"/><Relationship Id="rId169" Type="http://schemas.openxmlformats.org/officeDocument/2006/relationships/hyperlink" Target="http://www.tennisabstract.com/cgi-bin/player.cgi?p=TaroDaniel" TargetMode="External"/><Relationship Id="rId185" Type="http://schemas.openxmlformats.org/officeDocument/2006/relationships/hyperlink" Target="http://www.tennisabstract.com/cgi-bin/player.cgi?p=ThanasiKokkinakis" TargetMode="External"/><Relationship Id="rId4" Type="http://schemas.openxmlformats.org/officeDocument/2006/relationships/hyperlink" Target="http://www.tennisabstract.com/cgi-bin/player-classic.cgi?p=JannikSinner&amp;f=" TargetMode="External"/><Relationship Id="rId9" Type="http://schemas.openxmlformats.org/officeDocument/2006/relationships/hyperlink" Target="http://www.tennisabstract.com/cgi-bin/player.cgi?p=AlexanderZverev" TargetMode="External"/><Relationship Id="rId180" Type="http://schemas.openxmlformats.org/officeDocument/2006/relationships/hyperlink" Target="http://www.tennisabstract.com/cgi-bin/player-classic.cgi?p=ConstantLestienne&amp;f=" TargetMode="External"/><Relationship Id="rId26" Type="http://schemas.openxmlformats.org/officeDocument/2006/relationships/hyperlink" Target="http://www.tennisabstract.com/cgi-bin/player-classic.cgi?p=TaylorFritz&amp;f=" TargetMode="External"/><Relationship Id="rId47" Type="http://schemas.openxmlformats.org/officeDocument/2006/relationships/hyperlink" Target="http://www.tennisabstract.com/cgi-bin/player.cgi?p=JanLennardStruff" TargetMode="External"/><Relationship Id="rId68" Type="http://schemas.openxmlformats.org/officeDocument/2006/relationships/hyperlink" Target="http://www.tennisabstract.com/cgi-bin/player-classic.cgi?p=BornaCoric&amp;f=" TargetMode="External"/><Relationship Id="rId89" Type="http://schemas.openxmlformats.org/officeDocument/2006/relationships/hyperlink" Target="http://www.tennisabstract.com/cgi-bin/player.cgi?p=SebastianOfner" TargetMode="External"/><Relationship Id="rId112" Type="http://schemas.openxmlformats.org/officeDocument/2006/relationships/hyperlink" Target="http://www.tennisabstract.com/cgi-bin/player-classic.cgi?p=NunoBorges&amp;f=" TargetMode="External"/><Relationship Id="rId133" Type="http://schemas.openxmlformats.org/officeDocument/2006/relationships/hyperlink" Target="http://www.tennisabstract.com/cgi-bin/player.cgi?p=ChristopherOconnell" TargetMode="External"/><Relationship Id="rId154" Type="http://schemas.openxmlformats.org/officeDocument/2006/relationships/hyperlink" Target="http://www.tennisabstract.com/cgi-bin/player-classic.cgi?p=ArthurRinderknech&amp;f=" TargetMode="External"/><Relationship Id="rId175" Type="http://schemas.openxmlformats.org/officeDocument/2006/relationships/hyperlink" Target="http://www.tennisabstract.com/cgi-bin/player.cgi?p=CorentinMoutet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ennisabstract.com/cgi-bin/leaders.cgi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://www.tennisabstract.com/cgi-bin/player.cgi?p=NovakDjokovic" TargetMode="External"/><Relationship Id="rId3" Type="http://schemas.openxmlformats.org/officeDocument/2006/relationships/hyperlink" Target="http://www.tennisabstract.com/cgi-bin/player.cgi?p=DaniilMedvedev" TargetMode="External"/><Relationship Id="rId7" Type="http://schemas.openxmlformats.org/officeDocument/2006/relationships/hyperlink" Target="http://www.tennisabstract.com/cgi-bin/player.cgi?p=AndreyRublev" TargetMode="External"/><Relationship Id="rId2" Type="http://schemas.openxmlformats.org/officeDocument/2006/relationships/hyperlink" Target="http://www.tennisabstract.com/cgi-bin/player.cgi?p=CarlosAlcaraz" TargetMode="External"/><Relationship Id="rId1" Type="http://schemas.openxmlformats.org/officeDocument/2006/relationships/hyperlink" Target="http://www.tennisabstract.com/cgi-bin/player.cgi?p=JannikSinner" TargetMode="External"/><Relationship Id="rId6" Type="http://schemas.openxmlformats.org/officeDocument/2006/relationships/hyperlink" Target="http://www.tennisabstract.com/cgi-bin/player.cgi?p=StefanosTsitsipas" TargetMode="External"/><Relationship Id="rId5" Type="http://schemas.openxmlformats.org/officeDocument/2006/relationships/hyperlink" Target="http://www.tennisabstract.com/cgi-bin/player.cgi?p=CasperRuud" TargetMode="External"/><Relationship Id="rId4" Type="http://schemas.openxmlformats.org/officeDocument/2006/relationships/hyperlink" Target="http://www.tennisabstract.com/cgi-bin/player.cgi?p=AlexanderZverev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F2AE5-41E7-458F-A6FF-37400796EA54}">
  <sheetPr codeName="Sheet1"/>
  <dimension ref="B4:M17"/>
  <sheetViews>
    <sheetView workbookViewId="0">
      <selection activeCell="C17" sqref="C17"/>
    </sheetView>
  </sheetViews>
  <sheetFormatPr defaultRowHeight="15" x14ac:dyDescent="0.25"/>
  <cols>
    <col min="3" max="3" width="14.85546875" bestFit="1" customWidth="1"/>
  </cols>
  <sheetData>
    <row r="4" spans="2:13" x14ac:dyDescent="0.25">
      <c r="D4" t="s">
        <v>2</v>
      </c>
      <c r="E4" t="s">
        <v>3</v>
      </c>
      <c r="F4" t="s">
        <v>5</v>
      </c>
      <c r="G4" t="s">
        <v>11</v>
      </c>
      <c r="H4" t="s">
        <v>12</v>
      </c>
      <c r="I4" t="s">
        <v>13</v>
      </c>
      <c r="J4" t="s">
        <v>14</v>
      </c>
      <c r="K4" t="s">
        <v>15</v>
      </c>
      <c r="M4" t="s">
        <v>16</v>
      </c>
    </row>
    <row r="5" spans="2:13" x14ac:dyDescent="0.25">
      <c r="B5">
        <v>1</v>
      </c>
      <c r="C5" t="s">
        <v>0</v>
      </c>
      <c r="D5" s="1"/>
      <c r="E5" s="2">
        <f>4/7</f>
        <v>0.5714285714285714</v>
      </c>
      <c r="F5" s="2">
        <f>3/5</f>
        <v>0.6</v>
      </c>
      <c r="G5" s="2">
        <f>10/15</f>
        <v>0.66666666666666663</v>
      </c>
      <c r="H5" s="2">
        <f>8/12</f>
        <v>0.66666666666666663</v>
      </c>
      <c r="I5" s="2">
        <f>5/6</f>
        <v>0.83333333333333337</v>
      </c>
      <c r="J5" s="2">
        <f>11/13</f>
        <v>0.84615384615384615</v>
      </c>
      <c r="K5" s="2">
        <f>5/6</f>
        <v>0.83333333333333337</v>
      </c>
      <c r="M5" s="3">
        <f>AVERAGE(E5:K5)</f>
        <v>0.71679748822605949</v>
      </c>
    </row>
    <row r="6" spans="2:13" x14ac:dyDescent="0.25">
      <c r="B6">
        <v>2</v>
      </c>
      <c r="C6" t="s">
        <v>1</v>
      </c>
      <c r="D6" s="2">
        <f>1-E5</f>
        <v>0.4285714285714286</v>
      </c>
      <c r="E6" s="1"/>
      <c r="F6" s="2">
        <f>4/8</f>
        <v>0.5</v>
      </c>
      <c r="G6" s="2">
        <f>5/11</f>
        <v>0.45454545454545453</v>
      </c>
      <c r="H6" s="2">
        <f>1/5</f>
        <v>0.2</v>
      </c>
      <c r="I6" s="2">
        <f>2/3</f>
        <v>0.66666666666666663</v>
      </c>
      <c r="J6" s="2">
        <f>3/9</f>
        <v>0.33333333333333331</v>
      </c>
      <c r="K6" s="2">
        <f>5/7</f>
        <v>0.7142857142857143</v>
      </c>
      <c r="M6" s="3">
        <f>AVERAGE(D6,F6:K6)</f>
        <v>0.47105751391465678</v>
      </c>
    </row>
    <row r="7" spans="2:13" x14ac:dyDescent="0.25">
      <c r="B7">
        <v>3</v>
      </c>
      <c r="C7" t="s">
        <v>4</v>
      </c>
      <c r="D7" s="2">
        <f>1-F5</f>
        <v>0.4</v>
      </c>
      <c r="E7" s="2">
        <f>1-F6</f>
        <v>0.5</v>
      </c>
      <c r="F7" s="1"/>
      <c r="G7" s="2">
        <f>4/6</f>
        <v>0.66666666666666663</v>
      </c>
      <c r="H7" s="2">
        <f>4/9</f>
        <v>0.44444444444444442</v>
      </c>
      <c r="I7" s="2">
        <f>4/5</f>
        <v>0.8</v>
      </c>
      <c r="J7" s="2">
        <f>5/6</f>
        <v>0.83333333333333337</v>
      </c>
      <c r="K7" s="2">
        <f>1/2</f>
        <v>0.5</v>
      </c>
      <c r="M7" s="3">
        <f>AVERAGE(D7:E7,G7:K7)</f>
        <v>0.59206349206349196</v>
      </c>
    </row>
    <row r="8" spans="2:13" x14ac:dyDescent="0.25">
      <c r="B8">
        <v>4</v>
      </c>
      <c r="C8" t="s">
        <v>6</v>
      </c>
      <c r="D8" s="2">
        <f>1-G5</f>
        <v>0.33333333333333337</v>
      </c>
      <c r="E8" s="2">
        <f>1-G6</f>
        <v>0.54545454545454541</v>
      </c>
      <c r="F8" s="2">
        <f>1-G7</f>
        <v>0.33333333333333337</v>
      </c>
      <c r="G8" s="1"/>
      <c r="H8" s="2">
        <f>12/19</f>
        <v>0.63157894736842102</v>
      </c>
      <c r="I8" s="2">
        <f>3/4</f>
        <v>0.75</v>
      </c>
      <c r="J8" s="2">
        <f>9/13</f>
        <v>0.69230769230769229</v>
      </c>
      <c r="K8" s="2">
        <f>7/9</f>
        <v>0.77777777777777779</v>
      </c>
      <c r="M8" s="3">
        <f>AVERAGE(D8:F8,H8:K8)</f>
        <v>0.58054080422501475</v>
      </c>
    </row>
    <row r="9" spans="2:13" x14ac:dyDescent="0.25">
      <c r="B9">
        <v>5</v>
      </c>
      <c r="C9" t="s">
        <v>7</v>
      </c>
      <c r="D9" s="2">
        <f>1-H5</f>
        <v>0.33333333333333337</v>
      </c>
      <c r="E9" s="2">
        <f>1-H6</f>
        <v>0.8</v>
      </c>
      <c r="F9" s="2">
        <f>1-H7</f>
        <v>0.55555555555555558</v>
      </c>
      <c r="G9" s="2">
        <f>1-H8</f>
        <v>0.36842105263157898</v>
      </c>
      <c r="H9" s="1"/>
      <c r="I9" s="2">
        <f>2/4</f>
        <v>0.5</v>
      </c>
      <c r="J9" s="2">
        <f>5/15</f>
        <v>0.33333333333333331</v>
      </c>
      <c r="K9" s="2">
        <f>6/9</f>
        <v>0.66666666666666663</v>
      </c>
      <c r="M9" s="3">
        <f>AVERAGE(D9:G9,I9:K9)</f>
        <v>0.50818713450292397</v>
      </c>
    </row>
    <row r="10" spans="2:13" x14ac:dyDescent="0.25">
      <c r="B10">
        <v>6</v>
      </c>
      <c r="C10" t="s">
        <v>8</v>
      </c>
      <c r="D10" s="2">
        <f>1-I5</f>
        <v>0.16666666666666663</v>
      </c>
      <c r="E10" s="2">
        <f>1-I6</f>
        <v>0.33333333333333337</v>
      </c>
      <c r="F10" s="2">
        <f>1-I7</f>
        <v>0.19999999999999996</v>
      </c>
      <c r="G10" s="2">
        <f>1-I8</f>
        <v>0.25</v>
      </c>
      <c r="H10" s="2">
        <f>1-I9</f>
        <v>0.5</v>
      </c>
      <c r="I10" s="1"/>
      <c r="J10" s="2">
        <f>3/5</f>
        <v>0.6</v>
      </c>
      <c r="K10" s="2">
        <f>2/7</f>
        <v>0.2857142857142857</v>
      </c>
      <c r="M10" s="3">
        <f>AVERAGE(D10:H10,J10:K10)</f>
        <v>0.33367346938775505</v>
      </c>
    </row>
    <row r="11" spans="2:13" x14ac:dyDescent="0.25">
      <c r="B11">
        <v>7</v>
      </c>
      <c r="C11" t="s">
        <v>9</v>
      </c>
      <c r="D11" s="2">
        <f>1-J5</f>
        <v>0.15384615384615385</v>
      </c>
      <c r="E11" s="2">
        <f>1-J6</f>
        <v>0.66666666666666674</v>
      </c>
      <c r="F11" s="2">
        <f>1-J7</f>
        <v>0.16666666666666663</v>
      </c>
      <c r="G11" s="2">
        <f>1-J8</f>
        <v>0.30769230769230771</v>
      </c>
      <c r="H11" s="2">
        <f>1-J9</f>
        <v>0.66666666666666674</v>
      </c>
      <c r="I11" s="2">
        <f>1-J10</f>
        <v>0.4</v>
      </c>
      <c r="J11" s="1"/>
      <c r="K11" s="2">
        <f>6/11</f>
        <v>0.54545454545454541</v>
      </c>
      <c r="M11" s="3">
        <f>AVERAGE(D11:I11,K11)</f>
        <v>0.41528471528471528</v>
      </c>
    </row>
    <row r="12" spans="2:13" x14ac:dyDescent="0.25">
      <c r="B12">
        <v>8</v>
      </c>
      <c r="C12" t="s">
        <v>10</v>
      </c>
      <c r="D12" s="2">
        <f>1-K5</f>
        <v>0.16666666666666663</v>
      </c>
      <c r="E12" s="2">
        <f>1-K6</f>
        <v>0.2857142857142857</v>
      </c>
      <c r="F12" s="2">
        <f>1-K7</f>
        <v>0.5</v>
      </c>
      <c r="G12" s="2">
        <f>1-K8</f>
        <v>0.22222222222222221</v>
      </c>
      <c r="H12" s="2">
        <f>1-K9</f>
        <v>0.33333333333333337</v>
      </c>
      <c r="I12" s="2">
        <f>1-K10</f>
        <v>0.7142857142857143</v>
      </c>
      <c r="J12" s="2">
        <f>1-K11</f>
        <v>0.45454545454545459</v>
      </c>
      <c r="K12" s="1"/>
      <c r="M12" s="3">
        <f>AVERAGE(D12:J12)</f>
        <v>0.3823953823953824</v>
      </c>
    </row>
    <row r="13" spans="2:13" x14ac:dyDescent="0.25">
      <c r="B13">
        <v>9</v>
      </c>
      <c r="C13" t="s">
        <v>435</v>
      </c>
    </row>
    <row r="14" spans="2:13" x14ac:dyDescent="0.25">
      <c r="B14">
        <v>10</v>
      </c>
      <c r="C14" t="s">
        <v>436</v>
      </c>
    </row>
    <row r="17" spans="3:3" x14ac:dyDescent="0.25">
      <c r="C17" t="s">
        <v>437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6BA11-5B3C-4EB4-8DDC-BBB6A46CCC3B}">
  <sheetPr codeName="Sheet2"/>
  <dimension ref="A1:AO48"/>
  <sheetViews>
    <sheetView tabSelected="1" zoomScale="65" workbookViewId="0">
      <selection activeCell="K32" sqref="K32"/>
    </sheetView>
  </sheetViews>
  <sheetFormatPr defaultRowHeight="15" x14ac:dyDescent="0.25"/>
  <cols>
    <col min="1" max="1" width="14.7109375" bestFit="1" customWidth="1"/>
    <col min="3" max="3" width="11.140625" bestFit="1" customWidth="1"/>
    <col min="5" max="5" width="9.28515625" bestFit="1" customWidth="1"/>
    <col min="7" max="7" width="12" bestFit="1" customWidth="1"/>
    <col min="9" max="9" width="9.28515625" bestFit="1" customWidth="1"/>
    <col min="13" max="14" width="9.28515625" bestFit="1" customWidth="1"/>
    <col min="16" max="16" width="9.28515625" bestFit="1" customWidth="1"/>
    <col min="17" max="17" width="8.85546875" bestFit="1" customWidth="1"/>
    <col min="18" max="18" width="9.28515625" bestFit="1" customWidth="1"/>
    <col min="20" max="20" width="9.28515625" bestFit="1" customWidth="1"/>
    <col min="21" max="21" width="10.28515625" bestFit="1" customWidth="1"/>
    <col min="22" max="22" width="10.140625" bestFit="1" customWidth="1"/>
    <col min="38" max="38" width="10.42578125" bestFit="1" customWidth="1"/>
  </cols>
  <sheetData>
    <row r="1" spans="1:41" x14ac:dyDescent="0.25">
      <c r="A1" s="4" t="s">
        <v>17</v>
      </c>
      <c r="B1" s="5"/>
      <c r="C1" s="5" t="s">
        <v>2</v>
      </c>
      <c r="D1" s="5" t="s">
        <v>5</v>
      </c>
      <c r="E1" s="5" t="s">
        <v>12</v>
      </c>
      <c r="F1" s="5"/>
      <c r="G1" t="s">
        <v>18</v>
      </c>
      <c r="H1" s="5"/>
      <c r="I1" t="s">
        <v>19</v>
      </c>
      <c r="J1" s="5"/>
      <c r="K1" s="5"/>
      <c r="L1" s="5"/>
      <c r="M1" s="5"/>
      <c r="N1" s="5"/>
      <c r="O1" t="s">
        <v>28</v>
      </c>
    </row>
    <row r="2" spans="1:41" ht="15.75" thickBot="1" x14ac:dyDescent="0.3">
      <c r="A2" s="5" t="s">
        <v>2</v>
      </c>
      <c r="B2" s="15">
        <v>0.71679748822605904</v>
      </c>
      <c r="C2" s="5"/>
      <c r="D2" s="5"/>
      <c r="E2" s="5"/>
      <c r="F2" s="5"/>
      <c r="G2">
        <f ca="1">COUNTIF(C$2:$E$5,A2)+1*RAND()</f>
        <v>2.5074818496422524</v>
      </c>
      <c r="H2" s="6"/>
      <c r="I2" s="7">
        <f ca="1">RANK(G2,$G$2:$G$5,0)</f>
        <v>3</v>
      </c>
      <c r="J2" s="5" t="s">
        <v>2</v>
      </c>
      <c r="K2" s="5"/>
      <c r="L2" t="str">
        <f ca="1">VLOOKUP(1,$I$2:$J$5,2,0)</f>
        <v>Alcaraz</v>
      </c>
      <c r="M2" s="2">
        <f ca="1">VLOOKUP(L2,A$15:B$22,2,FALSE)</f>
        <v>0.59206349206349196</v>
      </c>
      <c r="N2" s="5"/>
      <c r="O2" t="s">
        <v>39</v>
      </c>
    </row>
    <row r="3" spans="1:41" x14ac:dyDescent="0.25">
      <c r="A3" s="5" t="s">
        <v>5</v>
      </c>
      <c r="B3" s="16">
        <v>0.59206349206349196</v>
      </c>
      <c r="C3" s="19" t="str">
        <f ca="1">IF(RAND()&lt;C16,$A2,$A3)</f>
        <v>Djokovic</v>
      </c>
      <c r="F3" s="5"/>
      <c r="G3">
        <f ca="1">COUNTIF(C$2:$E$5,A3)+1*RAND()</f>
        <v>2.7501591129850134</v>
      </c>
      <c r="H3" s="6"/>
      <c r="I3" s="7">
        <f t="shared" ref="I3:I5" ca="1" si="0">RANK(G3,$G$2:$G$5,0)</f>
        <v>1</v>
      </c>
      <c r="J3" s="5" t="s">
        <v>5</v>
      </c>
      <c r="K3" s="5"/>
      <c r="L3" t="str">
        <f ca="1">VLOOKUP(2,$I$2:$J$5,2,0)</f>
        <v>Zverev</v>
      </c>
      <c r="M3" s="2">
        <f t="shared" ref="M3:M11" ca="1" si="1">VLOOKUP(L3,A$15:B$22,2,FALSE)</f>
        <v>0.50818713450292397</v>
      </c>
      <c r="N3" s="5"/>
      <c r="O3" t="s">
        <v>40</v>
      </c>
      <c r="AA3" s="8"/>
      <c r="AB3" s="20" t="s">
        <v>29</v>
      </c>
      <c r="AC3" s="21">
        <v>1</v>
      </c>
    </row>
    <row r="4" spans="1:41" x14ac:dyDescent="0.25">
      <c r="A4" s="5" t="s">
        <v>12</v>
      </c>
      <c r="B4" s="16">
        <v>0.50818713450292397</v>
      </c>
      <c r="C4" s="19" t="str">
        <f ca="1">IF(RAND()&lt;C17,$A2,$A4)</f>
        <v>Zverev</v>
      </c>
      <c r="D4" s="19" t="str">
        <f ca="1">IF(RAND()&lt;D17,$A3,$A4)</f>
        <v>Alcaraz</v>
      </c>
      <c r="F4" s="5"/>
      <c r="G4">
        <f ca="1">COUNTIF(C$2:$E$5,A4)+1*RAND()</f>
        <v>2.5888550103865753</v>
      </c>
      <c r="H4" s="6"/>
      <c r="I4" s="7">
        <f t="shared" ca="1" si="0"/>
        <v>2</v>
      </c>
      <c r="J4" s="5" t="s">
        <v>12</v>
      </c>
      <c r="K4" s="5"/>
      <c r="L4" t="str">
        <f ca="1">VLOOKUP(3,$I$2:$J$5,2,0)</f>
        <v>Djokovic</v>
      </c>
      <c r="M4" s="2">
        <f t="shared" ca="1" si="1"/>
        <v>0.71679748822605949</v>
      </c>
      <c r="N4" s="5"/>
      <c r="AA4" s="11"/>
      <c r="AB4" t="s">
        <v>26</v>
      </c>
      <c r="AC4" s="22">
        <f ca="1">AA6*(1-AA7)/(AA6*(1-AA7)+AA7*(1-AA6))</f>
        <v>0.51187489081542181</v>
      </c>
      <c r="AF4" s="23"/>
    </row>
    <row r="5" spans="1:41" ht="15.75" thickBot="1" x14ac:dyDescent="0.3">
      <c r="A5" s="5" t="s">
        <v>14</v>
      </c>
      <c r="B5" s="16">
        <v>0.41528471528471528</v>
      </c>
      <c r="C5" s="19" t="str">
        <f ca="1">IF(RAND()&lt;C18,$A2,$A5)</f>
        <v>Djokovic</v>
      </c>
      <c r="D5" s="19" t="str">
        <f ca="1">IF(RAND()&lt;D18,$A3,$A5)</f>
        <v>Alcaraz</v>
      </c>
      <c r="E5" s="19" t="str">
        <f ca="1">IF(RAND()&lt;E18,$A4,$A5)</f>
        <v>Zverev</v>
      </c>
      <c r="F5" s="5"/>
      <c r="G5">
        <f ca="1">COUNTIF(C$2:$E$5,A5)+1*RAND()</f>
        <v>0.30698234409941716</v>
      </c>
      <c r="H5" s="6"/>
      <c r="I5" s="7">
        <f t="shared" ca="1" si="0"/>
        <v>4</v>
      </c>
      <c r="J5" s="5" t="s">
        <v>14</v>
      </c>
      <c r="K5" s="5"/>
      <c r="L5" t="str">
        <f ca="1">VLOOKUP(4,$I$2:$J$5,2,0)</f>
        <v>Tsitsipas</v>
      </c>
      <c r="M5" s="2">
        <f t="shared" ca="1" si="1"/>
        <v>0.41528471528471528</v>
      </c>
      <c r="N5" s="5"/>
      <c r="O5" t="s">
        <v>41</v>
      </c>
      <c r="AA5" s="11"/>
      <c r="AC5" s="22"/>
      <c r="AF5" s="24"/>
    </row>
    <row r="6" spans="1:41" x14ac:dyDescent="0.25">
      <c r="A6" s="5"/>
      <c r="B6" s="5"/>
      <c r="F6" s="5"/>
      <c r="H6" s="5"/>
      <c r="J6" s="5"/>
      <c r="K6" s="5"/>
      <c r="M6" s="2"/>
      <c r="N6" s="5"/>
      <c r="O6" t="s">
        <v>42</v>
      </c>
      <c r="Y6" t="str">
        <f ca="1">L2</f>
        <v>Alcaraz</v>
      </c>
      <c r="Z6" s="3">
        <f ca="1">M2</f>
        <v>0.59206349206349196</v>
      </c>
      <c r="AA6" s="36">
        <f ca="1">Z6</f>
        <v>0.59206349206349196</v>
      </c>
      <c r="AC6" s="25"/>
      <c r="AD6" s="26" t="s">
        <v>30</v>
      </c>
      <c r="AE6" s="8"/>
      <c r="AF6" s="20"/>
      <c r="AG6" s="21">
        <v>1</v>
      </c>
    </row>
    <row r="7" spans="1:41" ht="15.75" thickBot="1" x14ac:dyDescent="0.3">
      <c r="A7" s="4" t="s">
        <v>17</v>
      </c>
      <c r="B7" s="5"/>
      <c r="C7" t="s">
        <v>27</v>
      </c>
      <c r="D7" t="s">
        <v>11</v>
      </c>
      <c r="E7" t="s">
        <v>13</v>
      </c>
      <c r="F7" s="5"/>
      <c r="G7" t="s">
        <v>18</v>
      </c>
      <c r="H7" s="5"/>
      <c r="I7" t="s">
        <v>19</v>
      </c>
      <c r="J7" s="5"/>
      <c r="K7" s="5"/>
      <c r="M7" s="2"/>
      <c r="N7" s="5"/>
      <c r="Y7" t="str">
        <f ca="1">L11</f>
        <v>Medvedev</v>
      </c>
      <c r="Z7" s="3">
        <f ca="1">M11</f>
        <v>0.58054080422501475</v>
      </c>
      <c r="AA7" s="37">
        <f ca="1">Z7</f>
        <v>0.58054080422501475</v>
      </c>
      <c r="AB7" s="27"/>
      <c r="AC7" s="28">
        <f ca="1">_xlfn.BINOM.INV(AC3,AC4,RAND())</f>
        <v>0</v>
      </c>
      <c r="AD7" s="29" t="str">
        <f ca="1">IF(AC7&gt;=AC3/2,Y6,Y7)</f>
        <v>Medvedev</v>
      </c>
      <c r="AE7" s="38">
        <f ca="1">VLOOKUP(AD7,A15:B22,2,FALSE)</f>
        <v>0.58054080422501475</v>
      </c>
      <c r="AG7" s="30">
        <f ca="1">AE7*(1-AE10)/(AE7*(1-AE10)+AE10*(1-AE7))</f>
        <v>0.60847187636109246</v>
      </c>
    </row>
    <row r="8" spans="1:41" ht="15.75" thickBot="1" x14ac:dyDescent="0.3">
      <c r="A8" s="5" t="s">
        <v>27</v>
      </c>
      <c r="B8" s="15">
        <v>0.47105751391465678</v>
      </c>
      <c r="F8" s="5"/>
      <c r="G8">
        <f ca="1">COUNTIF(C$8:$E$11,A8)+1*RAND()</f>
        <v>1.9641990852376161</v>
      </c>
      <c r="H8" s="6"/>
      <c r="I8" s="7">
        <f ca="1">RANK(G8,$G$8:$G$11,0)</f>
        <v>2</v>
      </c>
      <c r="J8" s="5" t="s">
        <v>27</v>
      </c>
      <c r="K8" s="5"/>
      <c r="L8" t="str">
        <f ca="1">VLOOKUP(1,$I$8:$J$11,2,0)</f>
        <v>Ruud</v>
      </c>
      <c r="M8" s="2">
        <f t="shared" ca="1" si="1"/>
        <v>0.33367346938775505</v>
      </c>
      <c r="N8" s="5"/>
      <c r="O8" t="s">
        <v>43</v>
      </c>
      <c r="AA8" s="31"/>
      <c r="AE8" s="11"/>
      <c r="AG8" s="22"/>
    </row>
    <row r="9" spans="1:41" x14ac:dyDescent="0.25">
      <c r="A9" s="5" t="s">
        <v>11</v>
      </c>
      <c r="B9" s="16">
        <v>0.58054080422501475</v>
      </c>
      <c r="C9" s="19" t="str">
        <f ca="1">IF(RAND()&lt;C20,$A8,$A9)</f>
        <v>Sinner</v>
      </c>
      <c r="F9" s="5"/>
      <c r="G9">
        <f ca="1">COUNTIF(C$8:$E$11,A9)+1*RAND()</f>
        <v>1.2811270973578424</v>
      </c>
      <c r="H9" s="6"/>
      <c r="I9" s="7">
        <f t="shared" ref="I9:I11" ca="1" si="2">RANK(G9,$G$8:$G$11,0)</f>
        <v>4</v>
      </c>
      <c r="J9" s="5" t="s">
        <v>11</v>
      </c>
      <c r="K9" s="5"/>
      <c r="L9" t="str">
        <f ca="1">VLOOKUP(2,$I$8:$J$11,2,0)</f>
        <v>Sinner</v>
      </c>
      <c r="M9" s="2">
        <f t="shared" ca="1" si="1"/>
        <v>0.47105751391465678</v>
      </c>
      <c r="N9" s="5"/>
      <c r="O9" t="s">
        <v>44</v>
      </c>
      <c r="AA9" s="32"/>
      <c r="AB9" s="20" t="s">
        <v>29</v>
      </c>
      <c r="AC9" s="21">
        <v>1</v>
      </c>
      <c r="AE9" s="11"/>
      <c r="AG9" s="33"/>
      <c r="AH9" s="26" t="s">
        <v>172</v>
      </c>
      <c r="AI9" s="26"/>
    </row>
    <row r="10" spans="1:41" ht="15.75" thickBot="1" x14ac:dyDescent="0.3">
      <c r="A10" s="5" t="s">
        <v>13</v>
      </c>
      <c r="B10" s="16">
        <v>0.33367346938775505</v>
      </c>
      <c r="C10" s="19" t="str">
        <f ca="1">IF(RAND()&lt;C21,$A8,$A10)</f>
        <v>Ruud</v>
      </c>
      <c r="D10" s="19" t="str">
        <f ca="1">IF(RAND()&lt;D21,$A9,$A10)</f>
        <v>Ruud</v>
      </c>
      <c r="F10" s="5"/>
      <c r="G10">
        <f ca="1">COUNTIF(C$8:$E$11,A10)+1*RAND()</f>
        <v>3.385769185212451</v>
      </c>
      <c r="H10" s="6"/>
      <c r="I10" s="7">
        <f t="shared" ca="1" si="2"/>
        <v>1</v>
      </c>
      <c r="J10" s="5" t="s">
        <v>13</v>
      </c>
      <c r="K10" s="5"/>
      <c r="L10" t="str">
        <f ca="1">VLOOKUP(3,$I$8:$J$11,2,0)</f>
        <v>Rublev</v>
      </c>
      <c r="M10" s="2">
        <f t="shared" ca="1" si="1"/>
        <v>0.3823953823953824</v>
      </c>
      <c r="N10" s="5"/>
      <c r="AA10" s="34"/>
      <c r="AB10" t="s">
        <v>26</v>
      </c>
      <c r="AC10" s="22">
        <f ca="1">AA12*(1-AA13)/(AA12*(1-AA13)+AA13*(1-AA12))</f>
        <v>0.26027675155764685</v>
      </c>
      <c r="AE10" s="38">
        <f ca="1">VLOOKUP(AD13,A15:B22,2,FALSE)</f>
        <v>0.47105751391465678</v>
      </c>
      <c r="AF10" s="27"/>
      <c r="AG10" s="28">
        <f ca="1">_xlfn.BINOM.INV(AG6,AG7,RAND())</f>
        <v>1</v>
      </c>
      <c r="AH10" s="29" t="str">
        <f ca="1">IF(AG10&gt;=AG6/2,AD7,AD13)</f>
        <v>Medvedev</v>
      </c>
      <c r="AI10" s="26"/>
    </row>
    <row r="11" spans="1:41" ht="15.75" thickBot="1" x14ac:dyDescent="0.3">
      <c r="A11" s="5" t="s">
        <v>15</v>
      </c>
      <c r="B11" s="17">
        <v>0.3823953823953824</v>
      </c>
      <c r="C11" s="19" t="str">
        <f ca="1">IF(RAND()&lt;C22,$A8,$A11)</f>
        <v>Rublev</v>
      </c>
      <c r="D11" s="19" t="str">
        <f ca="1">IF(RAND()&lt;D22,$A9,$A11)</f>
        <v>Medvedev</v>
      </c>
      <c r="E11" s="19" t="str">
        <f ca="1">IF(RAND()&lt;E22,$A10,$A11)</f>
        <v>Ruud</v>
      </c>
      <c r="F11" s="5"/>
      <c r="G11">
        <f ca="1">COUNTIF(C$8:$E$11,A11)+1*RAND()</f>
        <v>1.7002097197810553</v>
      </c>
      <c r="H11" s="6"/>
      <c r="I11" s="7">
        <f t="shared" ca="1" si="2"/>
        <v>3</v>
      </c>
      <c r="J11" s="5" t="s">
        <v>15</v>
      </c>
      <c r="K11" s="5"/>
      <c r="L11" t="str">
        <f ca="1">VLOOKUP(4,$I$8:$J$11,2,0)</f>
        <v>Medvedev</v>
      </c>
      <c r="M11" s="2">
        <f t="shared" ca="1" si="1"/>
        <v>0.58054080422501475</v>
      </c>
      <c r="N11" s="5"/>
      <c r="O11" t="s">
        <v>45</v>
      </c>
      <c r="AA11" s="34"/>
      <c r="AC11" s="12"/>
      <c r="AH11" s="35"/>
    </row>
    <row r="12" spans="1:41" x14ac:dyDescent="0.25">
      <c r="A12" s="5"/>
      <c r="B12" s="5"/>
      <c r="C12" s="5"/>
      <c r="D12" s="5"/>
      <c r="E12" s="5"/>
      <c r="F12" s="5"/>
      <c r="G12" s="5"/>
      <c r="H12" s="5"/>
      <c r="I12" s="5"/>
      <c r="M12" s="5"/>
      <c r="N12" s="5"/>
      <c r="O12" t="s">
        <v>46</v>
      </c>
      <c r="Y12" t="str">
        <f ca="1">L9</f>
        <v>Sinner</v>
      </c>
      <c r="Z12" s="3">
        <f ca="1">M9</f>
        <v>0.47105751391465678</v>
      </c>
      <c r="AA12" s="36">
        <f ca="1">Z12</f>
        <v>0.47105751391465678</v>
      </c>
      <c r="AC12" s="25"/>
      <c r="AD12" s="26"/>
      <c r="AJ12" s="26"/>
      <c r="AK12" s="8"/>
      <c r="AL12" s="20"/>
      <c r="AM12" s="21">
        <v>1</v>
      </c>
    </row>
    <row r="13" spans="1:41" ht="15.75" thickBot="1" x14ac:dyDescent="0.3">
      <c r="A13" s="5"/>
      <c r="B13" s="5"/>
      <c r="C13" s="5"/>
      <c r="D13" s="5"/>
      <c r="E13" s="5"/>
      <c r="F13" s="5"/>
      <c r="G13" s="5"/>
      <c r="H13" s="5"/>
      <c r="I13" s="5"/>
      <c r="M13" s="5"/>
      <c r="N13" s="5"/>
      <c r="O13" s="5"/>
      <c r="P13" s="5"/>
      <c r="Q13" s="5"/>
      <c r="Y13" t="str">
        <f ca="1">L4</f>
        <v>Djokovic</v>
      </c>
      <c r="Z13" s="3">
        <f ca="1">M4</f>
        <v>0.71679748822605949</v>
      </c>
      <c r="AA13" s="37">
        <f ca="1">Z13</f>
        <v>0.71679748822605949</v>
      </c>
      <c r="AB13" s="27"/>
      <c r="AC13" s="28">
        <f ca="1">_xlfn.BINOM.INV(AC9,AC10,RAND())</f>
        <v>1</v>
      </c>
      <c r="AD13" s="29" t="str">
        <f ca="1">IF(AC13&gt;=AC9/2,Y12,Y13)</f>
        <v>Sinner</v>
      </c>
      <c r="AJ13" s="29"/>
      <c r="AK13" s="38">
        <f ca="1">VLOOKUP(AH10,A15:B22,2,FALSE)</f>
        <v>0.58054080422501475</v>
      </c>
      <c r="AM13" s="30">
        <f ca="1">AK13*(1-AK16)/(AK13*(1-AK16)+AK16*(1-AK13))</f>
        <v>0.69091216429004754</v>
      </c>
    </row>
    <row r="14" spans="1:41" ht="15.75" thickBot="1" x14ac:dyDescent="0.3">
      <c r="A14" s="9" t="s">
        <v>25</v>
      </c>
      <c r="B14" s="10"/>
      <c r="C14" s="4" t="s">
        <v>26</v>
      </c>
      <c r="D14" s="5"/>
      <c r="E14" s="5"/>
      <c r="F14" s="5"/>
      <c r="G14" s="5"/>
      <c r="H14" s="5"/>
      <c r="I14" s="5"/>
      <c r="M14" s="5"/>
      <c r="AK14" s="11"/>
      <c r="AM14" s="22"/>
    </row>
    <row r="15" spans="1:41" x14ac:dyDescent="0.25">
      <c r="A15" s="11" t="s">
        <v>2</v>
      </c>
      <c r="B15" s="15">
        <v>0.71679748822605949</v>
      </c>
      <c r="C15" s="5"/>
      <c r="D15" s="5"/>
      <c r="E15" s="5"/>
      <c r="F15" s="5"/>
      <c r="G15" s="5"/>
      <c r="H15" s="5"/>
      <c r="I15" s="5"/>
      <c r="N15" s="8"/>
      <c r="O15" s="20" t="s">
        <v>29</v>
      </c>
      <c r="P15" s="21">
        <v>1</v>
      </c>
      <c r="AA15" s="8"/>
      <c r="AB15" s="20" t="s">
        <v>29</v>
      </c>
      <c r="AC15" s="21">
        <v>1</v>
      </c>
      <c r="AK15" s="11"/>
      <c r="AM15" s="33"/>
      <c r="AN15" s="26" t="s">
        <v>31</v>
      </c>
      <c r="AO15" s="26" t="s">
        <v>32</v>
      </c>
    </row>
    <row r="16" spans="1:41" ht="15.75" thickBot="1" x14ac:dyDescent="0.3">
      <c r="A16" s="11" t="s">
        <v>5</v>
      </c>
      <c r="B16" s="16">
        <v>0.59206349206349196</v>
      </c>
      <c r="C16" s="18">
        <f>$B15*(1-$B16)/($B15*(1-$B16)+$B16*(1-$B15))</f>
        <v>0.63555634509958536</v>
      </c>
      <c r="F16" s="5"/>
      <c r="G16" s="5"/>
      <c r="H16" s="5"/>
      <c r="I16" s="5"/>
      <c r="M16" s="2"/>
      <c r="N16" s="11"/>
      <c r="O16" t="s">
        <v>26</v>
      </c>
      <c r="P16" s="22">
        <f ca="1">N18*(1-N19)/(N18*(1-N19)+N19*(1-N18))</f>
        <v>0.61972987494944465</v>
      </c>
      <c r="S16" s="23"/>
      <c r="AA16" s="11"/>
      <c r="AB16" t="s">
        <v>26</v>
      </c>
      <c r="AC16" s="22">
        <f ca="1">AA18*(1-AA19)/(AA18*(1-AA19)+AA19*(1-AA18))</f>
        <v>0.37469086091557291</v>
      </c>
      <c r="AF16" s="23"/>
      <c r="AK16" s="38">
        <f ca="1">VLOOKUP(AH22,A15:B22,2,FALSE)</f>
        <v>0.3823953823953824</v>
      </c>
      <c r="AL16" s="27"/>
      <c r="AM16" s="28">
        <f ca="1">_xlfn.BINOM.INV(AM12,AM13,RAND())</f>
        <v>1</v>
      </c>
      <c r="AN16" s="29" t="str">
        <f ca="1">IF(AM16&gt;=AM12/2,AH10,AH22)</f>
        <v>Medvedev</v>
      </c>
      <c r="AO16" s="26" t="str">
        <f ca="1">IF(AN16=AH10,AH22,AH10)</f>
        <v>Rublev</v>
      </c>
    </row>
    <row r="17" spans="1:40" ht="15.75" thickBot="1" x14ac:dyDescent="0.3">
      <c r="A17" s="11" t="s">
        <v>12</v>
      </c>
      <c r="B17" s="16">
        <v>0.50818713450292397</v>
      </c>
      <c r="C17" s="18">
        <f>$B15*(1-$B17)/($B15*(1-$B17)+$B17*(1-$B15))</f>
        <v>0.71010203632536073</v>
      </c>
      <c r="D17" s="18">
        <f>$B16*(1-$B17)/($B16*(1-$B17)+$B17*(1-$B16))</f>
        <v>0.5841300048787208</v>
      </c>
      <c r="F17" s="5"/>
      <c r="G17" s="5"/>
      <c r="H17" s="5"/>
      <c r="I17" s="5"/>
      <c r="K17" s="5" t="s">
        <v>20</v>
      </c>
      <c r="L17" s="5"/>
      <c r="M17" s="5"/>
      <c r="N17" s="11"/>
      <c r="P17" s="22"/>
      <c r="S17" s="24"/>
      <c r="AA17" s="11"/>
      <c r="AC17" s="22"/>
      <c r="AF17" s="24"/>
      <c r="AN17" s="35"/>
    </row>
    <row r="18" spans="1:40" x14ac:dyDescent="0.25">
      <c r="A18" s="11" t="s">
        <v>14</v>
      </c>
      <c r="B18" s="16">
        <v>0.41528471528471528</v>
      </c>
      <c r="C18" s="18">
        <f>$B15*(1-$B18)/($B15*(1-$B18)+$B18*(1-$B15))</f>
        <v>0.78087826370865887</v>
      </c>
      <c r="D18" s="18">
        <f>$B16*(1-$B18)/($B16*(1-$B18)+$B18*(1-$B16))</f>
        <v>0.67143069790786947</v>
      </c>
      <c r="E18" s="18">
        <f>$B17*(1-$B18)/($B17*(1-$B18)+$B18*(1-$B17))</f>
        <v>0.59264539294505647</v>
      </c>
      <c r="F18" s="5"/>
      <c r="G18" s="5"/>
      <c r="H18" s="5"/>
      <c r="I18" s="5"/>
      <c r="K18" s="5" t="s">
        <v>21</v>
      </c>
      <c r="L18" t="str">
        <f ca="1">L2</f>
        <v>Alcaraz</v>
      </c>
      <c r="M18" s="2">
        <f ca="1">M2</f>
        <v>0.59206349206349196</v>
      </c>
      <c r="N18" s="36">
        <f ca="1">M18</f>
        <v>0.59206349206349196</v>
      </c>
      <c r="P18" s="25"/>
      <c r="Q18" s="26" t="s">
        <v>30</v>
      </c>
      <c r="R18" s="8"/>
      <c r="S18" s="20"/>
      <c r="T18" s="21">
        <v>1</v>
      </c>
      <c r="Y18" t="str">
        <f ca="1">L10</f>
        <v>Rublev</v>
      </c>
      <c r="Z18" s="3">
        <f ca="1">M10</f>
        <v>0.3823953823953824</v>
      </c>
      <c r="AA18" s="36">
        <f ca="1">Z18</f>
        <v>0.3823953823953824</v>
      </c>
      <c r="AC18" s="25"/>
      <c r="AD18" s="26" t="s">
        <v>30</v>
      </c>
      <c r="AE18" s="8"/>
      <c r="AF18" s="20"/>
      <c r="AG18" s="21">
        <v>1</v>
      </c>
      <c r="AJ18" s="26"/>
    </row>
    <row r="19" spans="1:40" ht="15.75" thickBot="1" x14ac:dyDescent="0.3">
      <c r="A19" s="11" t="s">
        <v>27</v>
      </c>
      <c r="B19" s="15">
        <v>0.47105751391465678</v>
      </c>
      <c r="F19" s="5"/>
      <c r="G19" s="5"/>
      <c r="H19" s="5"/>
      <c r="I19" s="5"/>
      <c r="K19" s="5" t="s">
        <v>22</v>
      </c>
      <c r="L19" t="str">
        <f ca="1">L9</f>
        <v>Sinner</v>
      </c>
      <c r="M19" s="2">
        <f ca="1">M9</f>
        <v>0.47105751391465678</v>
      </c>
      <c r="N19" s="37">
        <f ca="1">M19</f>
        <v>0.47105751391465678</v>
      </c>
      <c r="O19" s="27"/>
      <c r="P19" s="28">
        <f ca="1">_xlfn.BINOM.INV(P15,P16,RAND())</f>
        <v>1</v>
      </c>
      <c r="Q19" s="29" t="str">
        <f ca="1">IF(P19&gt;=P15/2,L18,L19)</f>
        <v>Alcaraz</v>
      </c>
      <c r="R19" s="38">
        <f ca="1">VLOOKUP(Q19,A15:B22,2,FALSE)</f>
        <v>0.59206349206349196</v>
      </c>
      <c r="T19" s="30">
        <f ca="1">R19*(1-R22)/(R19*(1-R22)+R22*(1-R19))</f>
        <v>0.5841300048787208</v>
      </c>
      <c r="Y19" t="str">
        <f ca="1">L3</f>
        <v>Zverev</v>
      </c>
      <c r="Z19" s="3">
        <f ca="1">M3</f>
        <v>0.50818713450292397</v>
      </c>
      <c r="AA19" s="37">
        <f ca="1">Z19</f>
        <v>0.50818713450292397</v>
      </c>
      <c r="AB19" s="27"/>
      <c r="AC19" s="28">
        <f ca="1">_xlfn.BINOM.INV(AC15,AC16,RAND())</f>
        <v>1</v>
      </c>
      <c r="AD19" s="29" t="str">
        <f ca="1">IF(AC19&gt;=AC15/2,Y18,Y19)</f>
        <v>Rublev</v>
      </c>
      <c r="AE19" s="38">
        <f ca="1">VLOOKUP(AD19,A15:B22,2,FALSE)</f>
        <v>0.3823953823953824</v>
      </c>
      <c r="AG19" s="30">
        <f ca="1">AE19*(1-AE22)/(AE19*(1-AE22)+AE22*(1-AE19))</f>
        <v>0.46574557216729962</v>
      </c>
      <c r="AJ19" s="29"/>
    </row>
    <row r="20" spans="1:40" ht="15.75" thickBot="1" x14ac:dyDescent="0.3">
      <c r="A20" s="11" t="s">
        <v>11</v>
      </c>
      <c r="B20" s="16">
        <v>0.58054080422501475</v>
      </c>
      <c r="C20" s="18">
        <f>$B19*(1-$B20)/($B19*(1-$B20)+$B20*(1-$B19))</f>
        <v>0.3915281236389076</v>
      </c>
      <c r="F20" s="5"/>
      <c r="G20" s="5"/>
      <c r="H20" s="5"/>
      <c r="I20" s="5"/>
      <c r="K20" s="5"/>
      <c r="M20" s="2"/>
      <c r="N20" s="31"/>
      <c r="R20" s="11"/>
      <c r="T20" s="22"/>
      <c r="AA20" s="31"/>
      <c r="AE20" s="11"/>
      <c r="AG20" s="22"/>
    </row>
    <row r="21" spans="1:40" x14ac:dyDescent="0.25">
      <c r="A21" s="11" t="s">
        <v>13</v>
      </c>
      <c r="B21" s="16">
        <v>0.33367346938775505</v>
      </c>
      <c r="C21" s="18">
        <f>$B19*(1-$B21)/($B19*(1-$B21)+$B21*(1-$B19))</f>
        <v>0.64008139773704731</v>
      </c>
      <c r="D21" s="18">
        <f>$B20*(1-$B21)/($B20*(1-$B21)+$B21*(1-$B20))</f>
        <v>0.73431189810192565</v>
      </c>
      <c r="F21" s="5"/>
      <c r="G21" s="5"/>
      <c r="H21" s="5"/>
      <c r="I21" s="5"/>
      <c r="N21" s="32"/>
      <c r="O21" s="20" t="s">
        <v>29</v>
      </c>
      <c r="P21" s="21">
        <v>1</v>
      </c>
      <c r="R21" s="11"/>
      <c r="T21" s="33"/>
      <c r="U21" s="26" t="s">
        <v>31</v>
      </c>
      <c r="V21" s="26" t="s">
        <v>32</v>
      </c>
      <c r="Y21" s="45"/>
      <c r="AA21" s="32"/>
      <c r="AB21" s="20" t="s">
        <v>29</v>
      </c>
      <c r="AC21" s="21">
        <v>1</v>
      </c>
      <c r="AE21" s="11"/>
      <c r="AG21" s="33"/>
      <c r="AH21" s="26" t="s">
        <v>172</v>
      </c>
      <c r="AI21" s="26"/>
    </row>
    <row r="22" spans="1:40" ht="15.75" thickBot="1" x14ac:dyDescent="0.3">
      <c r="A22" s="14" t="s">
        <v>15</v>
      </c>
      <c r="B22" s="17">
        <v>0.3823953823953824</v>
      </c>
      <c r="C22" s="18">
        <f>$B19*(1-$B22)/($B19*(1-$B22)+$B22*(1-$B19))</f>
        <v>0.58988593572817827</v>
      </c>
      <c r="D22" s="18">
        <f>$B20*(1-$B22)/($B20*(1-$B22)+$B22*(1-$B20))</f>
        <v>0.69091216429004754</v>
      </c>
      <c r="E22" s="18">
        <f>$B21*(1-$B22)/($B21*(1-$B22)+$B22*(1-$B21))</f>
        <v>0.44714234139827019</v>
      </c>
      <c r="F22" s="5"/>
      <c r="G22" s="5"/>
      <c r="H22" s="5"/>
      <c r="I22" s="5"/>
      <c r="N22" s="34"/>
      <c r="O22" t="s">
        <v>26</v>
      </c>
      <c r="P22" s="22">
        <f ca="1">N24*(1-N25)/(N24*(1-N25)+N25*(1-N24))</f>
        <v>0.32643175257340368</v>
      </c>
      <c r="R22" s="38">
        <f ca="1">VLOOKUP(Q25,A15:B22,2,FALSE)</f>
        <v>0.50818713450292397</v>
      </c>
      <c r="S22" s="27"/>
      <c r="T22" s="28">
        <f ca="1">_xlfn.BINOM.INV(T18,T19,RAND())</f>
        <v>1</v>
      </c>
      <c r="U22" s="29" t="str">
        <f ca="1">IF(T22&gt;=T18/2,Q19,Q25)</f>
        <v>Alcaraz</v>
      </c>
      <c r="V22" s="26" t="str">
        <f ca="1">IF(U22=Q19,Q25,Q19)</f>
        <v>Zverev</v>
      </c>
      <c r="Y22" s="45"/>
      <c r="AA22" s="34"/>
      <c r="AB22" t="s">
        <v>26</v>
      </c>
      <c r="AC22" s="22">
        <f ca="1">AA24*(1-AA25)/(AA24*(1-AA25)+AA25*(1-AA24))</f>
        <v>0.41351428080057867</v>
      </c>
      <c r="AE22" s="38">
        <f ca="1">VLOOKUP(AD25,A15:B22,2,FALSE)</f>
        <v>0.41528471528471528</v>
      </c>
      <c r="AF22" s="27"/>
      <c r="AG22" s="28">
        <f ca="1">_xlfn.BINOM.INV(AG18,AG19,RAND())</f>
        <v>1</v>
      </c>
      <c r="AH22" s="29" t="str">
        <f ca="1">IF(AG22&gt;=AG18/2,AD19,AD25)</f>
        <v>Rublev</v>
      </c>
      <c r="AI22" s="26"/>
    </row>
    <row r="23" spans="1:40" x14ac:dyDescent="0.25">
      <c r="A23" s="39" t="s">
        <v>169</v>
      </c>
      <c r="N23" s="34"/>
      <c r="P23" s="12"/>
      <c r="U23" s="35"/>
      <c r="AA23" s="34"/>
      <c r="AC23" s="12"/>
      <c r="AH23" s="35"/>
    </row>
    <row r="24" spans="1:40" x14ac:dyDescent="0.25">
      <c r="B24" t="s">
        <v>33</v>
      </c>
      <c r="C24" t="s">
        <v>34</v>
      </c>
      <c r="E24" t="s">
        <v>37</v>
      </c>
      <c r="F24" t="s">
        <v>38</v>
      </c>
      <c r="K24" s="5" t="s">
        <v>24</v>
      </c>
      <c r="L24" t="str">
        <f ca="1">L8</f>
        <v>Ruud</v>
      </c>
      <c r="M24" s="2">
        <f ca="1">M8</f>
        <v>0.33367346938775505</v>
      </c>
      <c r="N24" s="36">
        <f ca="1">M24</f>
        <v>0.33367346938775505</v>
      </c>
      <c r="P24" s="25"/>
      <c r="Q24" s="26"/>
      <c r="Y24" t="str">
        <f ca="1">L8</f>
        <v>Ruud</v>
      </c>
      <c r="Z24" s="3">
        <f ca="1">M8</f>
        <v>0.33367346938775505</v>
      </c>
      <c r="AA24" s="36">
        <f ca="1">Z24</f>
        <v>0.33367346938775505</v>
      </c>
      <c r="AC24" s="25"/>
      <c r="AD24" s="26"/>
    </row>
    <row r="25" spans="1:40" ht="15.75" thickBot="1" x14ac:dyDescent="0.3">
      <c r="A25" s="11" t="s">
        <v>2</v>
      </c>
      <c r="B25">
        <v>3949</v>
      </c>
      <c r="C25">
        <v>1784</v>
      </c>
      <c r="E25" s="2">
        <f>B25/B$33</f>
        <v>0.39489999999999997</v>
      </c>
      <c r="F25" s="2">
        <f>C25/C$33</f>
        <v>0.1784</v>
      </c>
      <c r="K25" s="5" t="s">
        <v>23</v>
      </c>
      <c r="L25" t="str">
        <f ca="1">L3</f>
        <v>Zverev</v>
      </c>
      <c r="M25" s="2">
        <f ca="1">M3</f>
        <v>0.50818713450292397</v>
      </c>
      <c r="N25" s="37">
        <f ca="1">M25</f>
        <v>0.50818713450292397</v>
      </c>
      <c r="O25" s="27"/>
      <c r="P25" s="28">
        <f ca="1">_xlfn.BINOM.INV(P21,P22,RAND())</f>
        <v>0</v>
      </c>
      <c r="Q25" s="29" t="str">
        <f ca="1">IF(P25&gt;=P21/2,L24,L25)</f>
        <v>Zverev</v>
      </c>
      <c r="Y25" s="3" t="str">
        <f ca="1">L5</f>
        <v>Tsitsipas</v>
      </c>
      <c r="Z25" s="3">
        <f ca="1">M5</f>
        <v>0.41528471528471528</v>
      </c>
      <c r="AA25" s="37">
        <f ca="1">Z25</f>
        <v>0.41528471528471528</v>
      </c>
      <c r="AB25" s="27"/>
      <c r="AC25" s="28">
        <f ca="1">_xlfn.BINOM.INV(AC21,AC22,RAND())</f>
        <v>0</v>
      </c>
      <c r="AD25" s="29" t="str">
        <f ca="1">IF(AC25&gt;=AC21/2,Y24,Y25)</f>
        <v>Tsitsipas</v>
      </c>
    </row>
    <row r="26" spans="1:40" x14ac:dyDescent="0.25">
      <c r="A26" s="11" t="s">
        <v>5</v>
      </c>
      <c r="B26">
        <v>1638</v>
      </c>
      <c r="C26">
        <v>1779</v>
      </c>
      <c r="E26" s="2">
        <f t="shared" ref="E26:F32" si="3">B26/B$33</f>
        <v>0.1638</v>
      </c>
      <c r="F26" s="2">
        <f t="shared" si="3"/>
        <v>0.1779</v>
      </c>
    </row>
    <row r="27" spans="1:40" x14ac:dyDescent="0.25">
      <c r="A27" s="11" t="s">
        <v>12</v>
      </c>
      <c r="B27">
        <v>839</v>
      </c>
      <c r="C27">
        <v>1302</v>
      </c>
      <c r="E27" s="2">
        <f t="shared" si="3"/>
        <v>8.3900000000000002E-2</v>
      </c>
      <c r="F27" s="2">
        <f t="shared" si="3"/>
        <v>0.13020000000000001</v>
      </c>
    </row>
    <row r="28" spans="1:40" x14ac:dyDescent="0.25">
      <c r="A28" s="11" t="s">
        <v>14</v>
      </c>
      <c r="B28">
        <v>371</v>
      </c>
      <c r="C28">
        <v>748</v>
      </c>
      <c r="E28" s="2">
        <f t="shared" si="3"/>
        <v>3.7100000000000001E-2</v>
      </c>
      <c r="F28" s="2">
        <f t="shared" si="3"/>
        <v>7.4800000000000005E-2</v>
      </c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</row>
    <row r="29" spans="1:40" x14ac:dyDescent="0.25">
      <c r="A29" s="11" t="s">
        <v>27</v>
      </c>
      <c r="B29">
        <v>820</v>
      </c>
      <c r="C29">
        <v>1268</v>
      </c>
      <c r="E29" s="2">
        <f t="shared" si="3"/>
        <v>8.2000000000000003E-2</v>
      </c>
      <c r="F29" s="2">
        <f t="shared" si="3"/>
        <v>0.1268</v>
      </c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</row>
    <row r="30" spans="1:40" x14ac:dyDescent="0.25">
      <c r="A30" s="11" t="s">
        <v>11</v>
      </c>
      <c r="B30">
        <v>1856</v>
      </c>
      <c r="C30">
        <v>1678</v>
      </c>
      <c r="E30" s="2">
        <f t="shared" si="3"/>
        <v>0.18559999999999999</v>
      </c>
      <c r="F30" s="2">
        <f t="shared" si="3"/>
        <v>0.1678</v>
      </c>
      <c r="K30" s="43"/>
      <c r="L30" s="43"/>
      <c r="M30" s="43"/>
      <c r="N30" s="43"/>
      <c r="O30" s="43"/>
      <c r="P30" s="62"/>
      <c r="Q30" s="43"/>
      <c r="R30" s="43"/>
      <c r="S30" s="62"/>
      <c r="T30" s="43"/>
      <c r="U30" s="43"/>
    </row>
    <row r="31" spans="1:40" x14ac:dyDescent="0.25">
      <c r="A31" s="11" t="s">
        <v>13</v>
      </c>
      <c r="B31">
        <v>188</v>
      </c>
      <c r="C31">
        <v>609</v>
      </c>
      <c r="E31" s="2">
        <f t="shared" si="3"/>
        <v>1.8800000000000001E-2</v>
      </c>
      <c r="F31" s="2">
        <f t="shared" si="3"/>
        <v>6.0900000000000003E-2</v>
      </c>
      <c r="K31" s="43"/>
      <c r="L31" s="43"/>
      <c r="M31" s="43"/>
      <c r="N31" s="43"/>
      <c r="O31" s="43"/>
      <c r="P31" s="62"/>
      <c r="Q31" s="43"/>
      <c r="R31" s="43"/>
      <c r="S31" s="63"/>
      <c r="T31" s="43"/>
      <c r="U31" s="43"/>
    </row>
    <row r="32" spans="1:40" ht="15.75" thickBot="1" x14ac:dyDescent="0.3">
      <c r="A32" s="14" t="s">
        <v>15</v>
      </c>
      <c r="B32" s="27">
        <v>339</v>
      </c>
      <c r="C32" s="27">
        <v>832</v>
      </c>
      <c r="D32" s="27"/>
      <c r="E32" s="40">
        <f t="shared" si="3"/>
        <v>3.39E-2</v>
      </c>
      <c r="F32" s="40">
        <f t="shared" si="3"/>
        <v>8.3199999999999996E-2</v>
      </c>
      <c r="K32" s="64"/>
      <c r="L32" s="43"/>
      <c r="M32" s="65"/>
      <c r="N32" s="65"/>
      <c r="O32" s="43"/>
      <c r="P32" s="66"/>
      <c r="Q32" s="67"/>
      <c r="R32" s="43"/>
      <c r="S32" s="43"/>
      <c r="T32" s="43"/>
      <c r="U32" s="43"/>
    </row>
    <row r="33" spans="1:21" x14ac:dyDescent="0.25">
      <c r="A33" s="39" t="s">
        <v>35</v>
      </c>
      <c r="B33">
        <f>SUM(B25:B32)</f>
        <v>10000</v>
      </c>
      <c r="C33">
        <f>SUM(C25:C32)</f>
        <v>10000</v>
      </c>
      <c r="E33" s="2">
        <f>SUM(E25:E32)</f>
        <v>1</v>
      </c>
      <c r="F33" s="2">
        <f>SUM(F25:F32)</f>
        <v>1</v>
      </c>
      <c r="K33" s="64"/>
      <c r="L33" s="43"/>
      <c r="M33" s="65"/>
      <c r="N33" s="65"/>
      <c r="O33" s="43"/>
      <c r="P33" s="43"/>
      <c r="Q33" s="68"/>
      <c r="R33" s="65"/>
      <c r="S33" s="43"/>
      <c r="T33" s="62"/>
      <c r="U33" s="43"/>
    </row>
    <row r="34" spans="1:21" x14ac:dyDescent="0.25">
      <c r="K34" s="43"/>
      <c r="L34" s="43"/>
      <c r="M34" s="43"/>
      <c r="N34" s="69"/>
      <c r="O34" s="43"/>
      <c r="P34" s="43"/>
      <c r="Q34" s="43"/>
      <c r="R34" s="43"/>
      <c r="S34" s="43"/>
      <c r="T34" s="62"/>
      <c r="U34" s="43"/>
    </row>
    <row r="35" spans="1:21" x14ac:dyDescent="0.25">
      <c r="A35" t="s">
        <v>36</v>
      </c>
      <c r="B35">
        <v>1</v>
      </c>
      <c r="K35" s="43"/>
      <c r="L35" s="43"/>
      <c r="M35" s="43"/>
      <c r="N35" s="69"/>
      <c r="O35" s="43"/>
      <c r="P35" s="43"/>
      <c r="Q35" s="43"/>
      <c r="R35" s="43"/>
      <c r="S35" s="43"/>
      <c r="T35" s="66"/>
      <c r="U35" s="67"/>
    </row>
    <row r="36" spans="1:21" ht="26.25" x14ac:dyDescent="0.4">
      <c r="A36" s="44" t="s">
        <v>167</v>
      </c>
      <c r="K36" s="64"/>
      <c r="L36" s="43"/>
      <c r="M36" s="65"/>
      <c r="N36" s="69"/>
      <c r="O36" s="43"/>
      <c r="P36" s="62"/>
      <c r="Q36" s="43"/>
      <c r="R36" s="65"/>
      <c r="S36" s="43"/>
      <c r="T36" s="43"/>
      <c r="U36" s="68"/>
    </row>
    <row r="37" spans="1:21" x14ac:dyDescent="0.25">
      <c r="B37" t="s">
        <v>33</v>
      </c>
      <c r="C37" t="s">
        <v>34</v>
      </c>
      <c r="E37" t="s">
        <v>37</v>
      </c>
      <c r="F37" t="s">
        <v>38</v>
      </c>
      <c r="K37" s="43"/>
      <c r="L37" s="43"/>
      <c r="M37" s="43"/>
      <c r="N37" s="69"/>
      <c r="O37" s="43"/>
      <c r="P37" s="43"/>
      <c r="Q37" s="43"/>
      <c r="R37" s="43"/>
      <c r="S37" s="43"/>
      <c r="T37" s="43"/>
      <c r="U37" s="68"/>
    </row>
    <row r="38" spans="1:21" x14ac:dyDescent="0.25">
      <c r="A38" s="11" t="s">
        <v>2</v>
      </c>
      <c r="B38">
        <v>3848</v>
      </c>
      <c r="C38">
        <v>1635</v>
      </c>
      <c r="E38" s="2">
        <f>B38/B$46</f>
        <v>0.38479999999999998</v>
      </c>
      <c r="F38" s="2">
        <f>C38/C$46</f>
        <v>0.16350000000000001</v>
      </c>
      <c r="K38" s="64"/>
      <c r="L38" s="43"/>
      <c r="M38" s="65"/>
      <c r="N38" s="65"/>
      <c r="O38" s="43"/>
      <c r="P38" s="66"/>
      <c r="Q38" s="67"/>
      <c r="R38" s="43"/>
      <c r="S38" s="43"/>
      <c r="T38" s="43"/>
      <c r="U38" s="43"/>
    </row>
    <row r="39" spans="1:21" x14ac:dyDescent="0.25">
      <c r="A39" s="11" t="s">
        <v>5</v>
      </c>
      <c r="B39">
        <v>1797</v>
      </c>
      <c r="C39">
        <v>1781</v>
      </c>
      <c r="E39" s="2">
        <f t="shared" ref="E39:E45" si="4">B39/B$46</f>
        <v>0.1797</v>
      </c>
      <c r="F39" s="2">
        <f t="shared" ref="F39:F45" si="5">C39/C$46</f>
        <v>0.17810000000000001</v>
      </c>
      <c r="K39" s="64"/>
      <c r="L39" s="43"/>
      <c r="M39" s="65"/>
      <c r="N39" s="65"/>
      <c r="O39" s="43"/>
      <c r="P39" s="43"/>
      <c r="Q39" s="68"/>
      <c r="R39" s="43"/>
      <c r="S39" s="43"/>
      <c r="T39" s="43"/>
      <c r="U39" s="43"/>
    </row>
    <row r="40" spans="1:21" x14ac:dyDescent="0.25">
      <c r="A40" s="11" t="s">
        <v>12</v>
      </c>
      <c r="B40">
        <v>1036</v>
      </c>
      <c r="C40">
        <v>1493</v>
      </c>
      <c r="E40" s="2">
        <f t="shared" si="4"/>
        <v>0.1036</v>
      </c>
      <c r="F40" s="2">
        <f t="shared" si="5"/>
        <v>0.14929999999999999</v>
      </c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</row>
    <row r="41" spans="1:21" x14ac:dyDescent="0.25">
      <c r="A41" s="11" t="s">
        <v>14</v>
      </c>
      <c r="B41">
        <v>524</v>
      </c>
      <c r="C41">
        <v>1039</v>
      </c>
      <c r="E41" s="2">
        <f t="shared" si="4"/>
        <v>5.2400000000000002E-2</v>
      </c>
      <c r="F41" s="2">
        <f t="shared" si="5"/>
        <v>0.10390000000000001</v>
      </c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</row>
    <row r="42" spans="1:21" x14ac:dyDescent="0.25">
      <c r="A42" s="11" t="s">
        <v>27</v>
      </c>
      <c r="B42">
        <v>756</v>
      </c>
      <c r="C42">
        <v>1097</v>
      </c>
      <c r="E42" s="2">
        <f t="shared" si="4"/>
        <v>7.5600000000000001E-2</v>
      </c>
      <c r="F42" s="2">
        <f t="shared" si="5"/>
        <v>0.10970000000000001</v>
      </c>
    </row>
    <row r="43" spans="1:21" x14ac:dyDescent="0.25">
      <c r="A43" s="11" t="s">
        <v>11</v>
      </c>
      <c r="B43">
        <v>1495</v>
      </c>
      <c r="C43">
        <v>1504</v>
      </c>
      <c r="E43" s="2">
        <f t="shared" si="4"/>
        <v>0.14949999999999999</v>
      </c>
      <c r="F43" s="2">
        <f t="shared" si="5"/>
        <v>0.15040000000000001</v>
      </c>
    </row>
    <row r="44" spans="1:21" x14ac:dyDescent="0.25">
      <c r="A44" s="11" t="s">
        <v>13</v>
      </c>
      <c r="B44">
        <v>211</v>
      </c>
      <c r="C44">
        <v>656</v>
      </c>
      <c r="E44" s="2">
        <f t="shared" si="4"/>
        <v>2.1100000000000001E-2</v>
      </c>
      <c r="F44" s="2">
        <f t="shared" si="5"/>
        <v>6.5600000000000006E-2</v>
      </c>
    </row>
    <row r="45" spans="1:21" ht="15.75" thickBot="1" x14ac:dyDescent="0.3">
      <c r="A45" s="14" t="s">
        <v>15</v>
      </c>
      <c r="B45" s="27">
        <v>333</v>
      </c>
      <c r="C45" s="27">
        <v>795</v>
      </c>
      <c r="D45" s="27"/>
      <c r="E45" s="40">
        <f t="shared" si="4"/>
        <v>3.3300000000000003E-2</v>
      </c>
      <c r="F45" s="40">
        <f t="shared" si="5"/>
        <v>7.9500000000000001E-2</v>
      </c>
    </row>
    <row r="46" spans="1:21" x14ac:dyDescent="0.25">
      <c r="A46" s="39" t="s">
        <v>35</v>
      </c>
      <c r="B46">
        <f>SUM(B38:B45)</f>
        <v>10000</v>
      </c>
      <c r="C46">
        <f>SUM(C38:C45)</f>
        <v>10000</v>
      </c>
      <c r="E46" s="2">
        <f>SUM(E38:E45)</f>
        <v>1</v>
      </c>
      <c r="F46" s="2">
        <f>SUM(F38:F45)</f>
        <v>1</v>
      </c>
    </row>
    <row r="48" spans="1:21" x14ac:dyDescent="0.25">
      <c r="A48" t="s">
        <v>36</v>
      </c>
      <c r="B48"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2F13C-4F7C-4E1B-A683-88320AF17718}">
  <sheetPr codeName="Sheet3"/>
  <dimension ref="A1:BJ112"/>
  <sheetViews>
    <sheetView workbookViewId="0"/>
  </sheetViews>
  <sheetFormatPr defaultRowHeight="15" x14ac:dyDescent="0.25"/>
  <cols>
    <col min="1" max="1" width="31.5703125" bestFit="1" customWidth="1"/>
    <col min="36" max="36" width="12" bestFit="1" customWidth="1"/>
    <col min="37" max="38" width="9.28515625" bestFit="1" customWidth="1"/>
    <col min="59" max="59" width="12" bestFit="1" customWidth="1"/>
  </cols>
  <sheetData>
    <row r="1" spans="1:62" x14ac:dyDescent="0.25">
      <c r="A1" s="46" t="s">
        <v>100</v>
      </c>
      <c r="B1" s="46" t="s">
        <v>101</v>
      </c>
      <c r="C1" s="46" t="s">
        <v>168</v>
      </c>
      <c r="D1" s="46" t="s">
        <v>166</v>
      </c>
      <c r="E1" s="52" t="s">
        <v>173</v>
      </c>
      <c r="F1" s="46" t="s">
        <v>102</v>
      </c>
      <c r="G1" s="46" t="s">
        <v>103</v>
      </c>
      <c r="H1" s="46" t="s">
        <v>104</v>
      </c>
      <c r="I1" s="46" t="s">
        <v>105</v>
      </c>
      <c r="J1" s="46" t="s">
        <v>106</v>
      </c>
      <c r="K1" s="46" t="s">
        <v>107</v>
      </c>
      <c r="L1" s="46" t="s">
        <v>108</v>
      </c>
      <c r="M1" s="46" t="s">
        <v>109</v>
      </c>
      <c r="N1" s="46" t="s">
        <v>110</v>
      </c>
      <c r="O1" s="46" t="s">
        <v>111</v>
      </c>
      <c r="P1" s="46" t="s">
        <v>112</v>
      </c>
      <c r="Q1" s="46" t="s">
        <v>113</v>
      </c>
      <c r="R1" s="46" t="s">
        <v>114</v>
      </c>
      <c r="S1" s="46" t="s">
        <v>115</v>
      </c>
      <c r="T1" s="46" t="s">
        <v>174</v>
      </c>
      <c r="U1" s="46" t="s">
        <v>175</v>
      </c>
      <c r="V1" s="46" t="s">
        <v>176</v>
      </c>
      <c r="W1" s="46" t="s">
        <v>177</v>
      </c>
      <c r="X1" s="46" t="s">
        <v>178</v>
      </c>
      <c r="Y1" s="46" t="s">
        <v>179</v>
      </c>
      <c r="Z1" s="46" t="s">
        <v>180</v>
      </c>
      <c r="AA1" s="46" t="s">
        <v>181</v>
      </c>
      <c r="AB1" s="46" t="s">
        <v>182</v>
      </c>
      <c r="AC1" s="46" t="s">
        <v>183</v>
      </c>
      <c r="AD1" s="46" t="s">
        <v>184</v>
      </c>
      <c r="AE1" s="46" t="s">
        <v>185</v>
      </c>
      <c r="AF1" s="46" t="s">
        <v>186</v>
      </c>
      <c r="AG1" s="46" t="s">
        <v>187</v>
      </c>
      <c r="AH1" s="46" t="s">
        <v>188</v>
      </c>
      <c r="AI1" s="46" t="s">
        <v>189</v>
      </c>
      <c r="AJ1" s="46" t="s">
        <v>462</v>
      </c>
      <c r="AK1" s="46" t="s">
        <v>466</v>
      </c>
      <c r="AL1" s="46" t="s">
        <v>467</v>
      </c>
      <c r="AM1" s="46" t="s">
        <v>468</v>
      </c>
      <c r="AN1" s="46" t="s">
        <v>469</v>
      </c>
      <c r="AO1" s="46" t="s">
        <v>470</v>
      </c>
      <c r="AP1" s="46" t="s">
        <v>471</v>
      </c>
      <c r="AQ1" s="46" t="s">
        <v>472</v>
      </c>
      <c r="AR1" s="46" t="s">
        <v>473</v>
      </c>
      <c r="AS1" s="46" t="s">
        <v>474</v>
      </c>
      <c r="AT1" s="46" t="s">
        <v>475</v>
      </c>
      <c r="AU1" s="46" t="s">
        <v>314</v>
      </c>
      <c r="AV1" s="46" t="s">
        <v>315</v>
      </c>
      <c r="AW1" s="46" t="s">
        <v>316</v>
      </c>
      <c r="AX1" s="46" t="s">
        <v>317</v>
      </c>
      <c r="AY1" s="46" t="s">
        <v>318</v>
      </c>
      <c r="AZ1" s="46" t="s">
        <v>319</v>
      </c>
      <c r="BA1" s="46" t="s">
        <v>320</v>
      </c>
      <c r="BB1" s="46" t="s">
        <v>321</v>
      </c>
      <c r="BC1" s="46" t="s">
        <v>322</v>
      </c>
      <c r="BD1" s="46" t="s">
        <v>323</v>
      </c>
      <c r="BE1" s="46" t="s">
        <v>324</v>
      </c>
      <c r="BF1" s="46" t="s">
        <v>325</v>
      </c>
      <c r="BG1" s="46" t="s">
        <v>326</v>
      </c>
      <c r="BH1" s="46" t="s">
        <v>327</v>
      </c>
      <c r="BI1" s="46" t="s">
        <v>328</v>
      </c>
      <c r="BJ1" s="46" t="s">
        <v>329</v>
      </c>
    </row>
    <row r="2" spans="1:62" x14ac:dyDescent="0.25">
      <c r="A2" s="46" t="s">
        <v>47</v>
      </c>
      <c r="B2" s="46">
        <v>58</v>
      </c>
      <c r="C2" s="46">
        <v>50</v>
      </c>
      <c r="D2" s="46">
        <v>8</v>
      </c>
      <c r="E2" s="52">
        <v>0.86199999999999999</v>
      </c>
      <c r="F2" s="46">
        <v>0.69399999999999995</v>
      </c>
      <c r="G2" s="46">
        <v>0.68600000000000005</v>
      </c>
      <c r="H2" s="46">
        <v>433</v>
      </c>
      <c r="I2" s="46">
        <v>8.6999999999999994E-2</v>
      </c>
      <c r="J2" s="46">
        <v>142</v>
      </c>
      <c r="K2" s="46">
        <v>2.9000000000000001E-2</v>
      </c>
      <c r="L2" s="46">
        <v>7.9000000000000001E-2</v>
      </c>
      <c r="M2" s="46">
        <v>0.63500000000000001</v>
      </c>
      <c r="N2" s="46">
        <v>0.76500000000000001</v>
      </c>
      <c r="O2" s="46">
        <v>0.57099999999999995</v>
      </c>
      <c r="P2" s="46">
        <v>0.61899999999999999</v>
      </c>
      <c r="Q2" s="46">
        <v>0.878</v>
      </c>
      <c r="R2" s="46">
        <v>6</v>
      </c>
      <c r="S2" s="46">
        <v>1.8</v>
      </c>
      <c r="T2" s="46">
        <v>0.42699999999999999</v>
      </c>
      <c r="U2" s="46">
        <v>227</v>
      </c>
      <c r="V2" s="46">
        <v>532</v>
      </c>
      <c r="W2" s="46">
        <v>0.67</v>
      </c>
      <c r="X2" s="46">
        <v>3.2</v>
      </c>
      <c r="Y2" s="46">
        <v>9.1999999999999993</v>
      </c>
      <c r="Z2" s="46">
        <v>1.35</v>
      </c>
      <c r="AA2" s="46">
        <v>3.9</v>
      </c>
      <c r="AB2" s="46">
        <v>0.66</v>
      </c>
      <c r="AC2" s="46">
        <v>194</v>
      </c>
      <c r="AD2" s="46">
        <v>294</v>
      </c>
      <c r="AE2" s="46">
        <v>0.36</v>
      </c>
      <c r="AF2" s="46">
        <v>1.8</v>
      </c>
      <c r="AG2" s="46">
        <v>5.0999999999999996</v>
      </c>
      <c r="AH2" s="46">
        <v>0.6</v>
      </c>
      <c r="AI2" s="46">
        <v>1.7</v>
      </c>
      <c r="AJ2" s="46">
        <v>0.40699999999999997</v>
      </c>
      <c r="AK2" s="46">
        <v>0.42499999999999999</v>
      </c>
      <c r="AL2" s="46">
        <v>8.6999999999999994E-2</v>
      </c>
      <c r="AM2" s="46">
        <v>3.3000000000000002E-2</v>
      </c>
      <c r="AN2" s="46">
        <v>0.317</v>
      </c>
      <c r="AO2" s="46">
        <v>0.55700000000000005</v>
      </c>
      <c r="AP2" s="46">
        <v>0.28499999999999998</v>
      </c>
      <c r="AQ2" s="46">
        <v>6.6</v>
      </c>
      <c r="AR2" s="46">
        <v>2.7</v>
      </c>
      <c r="AS2" s="46">
        <v>18.5</v>
      </c>
      <c r="AT2" s="46">
        <v>37.4</v>
      </c>
      <c r="AU2" s="46">
        <v>1.33</v>
      </c>
      <c r="AV2" s="46">
        <v>10239</v>
      </c>
      <c r="AW2" s="46">
        <v>0.54600000000000004</v>
      </c>
      <c r="AX2" s="46">
        <v>33</v>
      </c>
      <c r="AY2" s="46" t="s">
        <v>330</v>
      </c>
      <c r="AZ2" s="46">
        <v>0.81799999999999995</v>
      </c>
      <c r="BA2" s="46">
        <v>0.19600000000000001</v>
      </c>
      <c r="BB2" s="46">
        <v>168</v>
      </c>
      <c r="BC2" s="46" t="s">
        <v>331</v>
      </c>
      <c r="BD2" s="46">
        <v>0.78600000000000003</v>
      </c>
      <c r="BE2" s="46">
        <v>1618</v>
      </c>
      <c r="BF2" s="46" t="s">
        <v>332</v>
      </c>
      <c r="BG2" s="46">
        <v>0.58699999999999997</v>
      </c>
      <c r="BH2" s="46">
        <v>9.7222000000000003E-2</v>
      </c>
      <c r="BI2" s="46">
        <v>48.2</v>
      </c>
      <c r="BJ2" s="46">
        <v>47.4</v>
      </c>
    </row>
    <row r="3" spans="1:62" x14ac:dyDescent="0.25">
      <c r="A3" s="46" t="s">
        <v>48</v>
      </c>
      <c r="B3" s="46">
        <v>74</v>
      </c>
      <c r="C3" s="46">
        <v>63</v>
      </c>
      <c r="D3" s="46">
        <v>11</v>
      </c>
      <c r="E3" s="52">
        <v>0.85099999999999998</v>
      </c>
      <c r="F3" s="46">
        <v>0.69599999999999995</v>
      </c>
      <c r="G3" s="46">
        <v>0.68400000000000005</v>
      </c>
      <c r="H3" s="46">
        <v>485</v>
      </c>
      <c r="I3" s="46">
        <v>8.5000000000000006E-2</v>
      </c>
      <c r="J3" s="46">
        <v>128</v>
      </c>
      <c r="K3" s="46">
        <v>2.3E-2</v>
      </c>
      <c r="L3" s="46">
        <v>5.7000000000000002E-2</v>
      </c>
      <c r="M3" s="46">
        <v>0.60699999999999998</v>
      </c>
      <c r="N3" s="46">
        <v>0.77500000000000002</v>
      </c>
      <c r="O3" s="46">
        <v>0.57199999999999995</v>
      </c>
      <c r="P3" s="46">
        <v>0.60699999999999998</v>
      </c>
      <c r="Q3" s="46">
        <v>0.90400000000000003</v>
      </c>
      <c r="R3" s="46">
        <v>6.1</v>
      </c>
      <c r="S3" s="46">
        <v>1.8</v>
      </c>
      <c r="T3" s="46">
        <v>0.40699999999999997</v>
      </c>
      <c r="U3" s="46">
        <v>251</v>
      </c>
      <c r="V3" s="46">
        <v>617</v>
      </c>
      <c r="W3" s="46">
        <v>0.68</v>
      </c>
      <c r="X3" s="46">
        <v>3.1</v>
      </c>
      <c r="Y3" s="46">
        <v>8.3000000000000007</v>
      </c>
      <c r="Z3" s="46">
        <v>1.28</v>
      </c>
      <c r="AA3" s="46">
        <v>3.4</v>
      </c>
      <c r="AB3" s="46">
        <v>0.74099999999999999</v>
      </c>
      <c r="AC3" s="46">
        <v>258</v>
      </c>
      <c r="AD3" s="46">
        <v>348</v>
      </c>
      <c r="AE3" s="46">
        <v>0.37</v>
      </c>
      <c r="AF3" s="46">
        <v>1.8</v>
      </c>
      <c r="AG3" s="46">
        <v>4.7</v>
      </c>
      <c r="AH3" s="46">
        <v>0.46</v>
      </c>
      <c r="AI3" s="46">
        <v>1.2</v>
      </c>
      <c r="AJ3" s="46">
        <v>0.4</v>
      </c>
      <c r="AK3" s="46">
        <v>0.41599999999999998</v>
      </c>
      <c r="AL3" s="46">
        <v>8.1000000000000003E-2</v>
      </c>
      <c r="AM3" s="46">
        <v>2.9000000000000001E-2</v>
      </c>
      <c r="AN3" s="46">
        <v>0.32300000000000001</v>
      </c>
      <c r="AO3" s="46">
        <v>0.53200000000000003</v>
      </c>
      <c r="AP3" s="46">
        <v>0.27500000000000002</v>
      </c>
      <c r="AQ3" s="46">
        <v>6.7</v>
      </c>
      <c r="AR3" s="46">
        <v>2.7</v>
      </c>
      <c r="AS3" s="46">
        <v>29</v>
      </c>
      <c r="AT3" s="46">
        <v>45.4</v>
      </c>
      <c r="AU3" s="46">
        <v>1.31</v>
      </c>
      <c r="AV3" s="46">
        <v>11786</v>
      </c>
      <c r="AW3" s="46">
        <v>0.54200000000000004</v>
      </c>
      <c r="AX3" s="46">
        <v>28</v>
      </c>
      <c r="AY3" s="46" t="s">
        <v>190</v>
      </c>
      <c r="AZ3" s="46">
        <v>0.53600000000000003</v>
      </c>
      <c r="BA3" s="46">
        <v>0.14299999999999999</v>
      </c>
      <c r="BB3" s="46">
        <v>196</v>
      </c>
      <c r="BC3" s="46" t="s">
        <v>191</v>
      </c>
      <c r="BD3" s="46">
        <v>0.76</v>
      </c>
      <c r="BE3" s="46">
        <v>1847</v>
      </c>
      <c r="BF3" s="46" t="s">
        <v>192</v>
      </c>
      <c r="BG3" s="46">
        <v>0.59299999999999997</v>
      </c>
      <c r="BH3" s="46">
        <v>8.3333000000000004E-2</v>
      </c>
      <c r="BI3" s="46">
        <v>45.3</v>
      </c>
      <c r="BJ3" s="46">
        <v>45.2</v>
      </c>
    </row>
    <row r="4" spans="1:62" x14ac:dyDescent="0.25">
      <c r="A4" s="46" t="s">
        <v>49</v>
      </c>
      <c r="B4" s="46">
        <v>65</v>
      </c>
      <c r="C4" s="46">
        <v>51</v>
      </c>
      <c r="D4" s="46">
        <v>14</v>
      </c>
      <c r="E4" s="52">
        <v>0.78500000000000003</v>
      </c>
      <c r="F4" s="46">
        <v>0.67400000000000004</v>
      </c>
      <c r="G4" s="46">
        <v>0.67500000000000004</v>
      </c>
      <c r="H4" s="46">
        <v>279</v>
      </c>
      <c r="I4" s="46">
        <v>5.6000000000000001E-2</v>
      </c>
      <c r="J4" s="46">
        <v>142</v>
      </c>
      <c r="K4" s="46">
        <v>2.9000000000000001E-2</v>
      </c>
      <c r="L4" s="46">
        <v>8.5000000000000006E-2</v>
      </c>
      <c r="M4" s="46">
        <v>0.66300000000000003</v>
      </c>
      <c r="N4" s="46">
        <v>0.72899999999999998</v>
      </c>
      <c r="O4" s="46">
        <v>0.56599999999999995</v>
      </c>
      <c r="P4" s="46">
        <v>0.61799999999999999</v>
      </c>
      <c r="Q4" s="46">
        <v>0.86</v>
      </c>
      <c r="R4" s="46">
        <v>6.1</v>
      </c>
      <c r="S4" s="46">
        <v>2</v>
      </c>
      <c r="T4" s="46">
        <v>0.372</v>
      </c>
      <c r="U4" s="46">
        <v>236</v>
      </c>
      <c r="V4" s="46">
        <v>634</v>
      </c>
      <c r="W4" s="46">
        <v>0.78</v>
      </c>
      <c r="X4" s="46">
        <v>3.7</v>
      </c>
      <c r="Y4" s="46">
        <v>9.8000000000000007</v>
      </c>
      <c r="Z4" s="46">
        <v>1.36</v>
      </c>
      <c r="AA4" s="46">
        <v>3.6</v>
      </c>
      <c r="AB4" s="46">
        <v>0.63300000000000001</v>
      </c>
      <c r="AC4" s="46">
        <v>197</v>
      </c>
      <c r="AD4" s="46">
        <v>311</v>
      </c>
      <c r="AE4" s="46">
        <v>0.38</v>
      </c>
      <c r="AF4" s="46">
        <v>1.8</v>
      </c>
      <c r="AG4" s="46">
        <v>4.8</v>
      </c>
      <c r="AH4" s="46">
        <v>0.66</v>
      </c>
      <c r="AI4" s="46">
        <v>1.8</v>
      </c>
      <c r="AJ4" s="46">
        <v>0.41599999999999998</v>
      </c>
      <c r="AK4" s="46">
        <v>0.41399999999999998</v>
      </c>
      <c r="AL4" s="46">
        <v>4.9000000000000002E-2</v>
      </c>
      <c r="AM4" s="46">
        <v>3.6999999999999998E-2</v>
      </c>
      <c r="AN4" s="46">
        <v>0.34599999999999997</v>
      </c>
      <c r="AO4" s="46">
        <v>0.54100000000000004</v>
      </c>
      <c r="AP4" s="46">
        <v>0.29199999999999998</v>
      </c>
      <c r="AQ4" s="46">
        <v>6.9</v>
      </c>
      <c r="AR4" s="46">
        <v>2.9</v>
      </c>
      <c r="AS4" s="46">
        <v>31</v>
      </c>
      <c r="AT4" s="46">
        <v>52.2</v>
      </c>
      <c r="AU4" s="46">
        <v>1.27</v>
      </c>
      <c r="AV4" s="46">
        <v>10543</v>
      </c>
      <c r="AW4" s="46">
        <v>0.53800000000000003</v>
      </c>
      <c r="AX4" s="46">
        <v>28</v>
      </c>
      <c r="AY4" s="46" t="s">
        <v>193</v>
      </c>
      <c r="AZ4" s="46">
        <v>0.64300000000000002</v>
      </c>
      <c r="BA4" s="46">
        <v>0.16200000000000001</v>
      </c>
      <c r="BB4" s="46">
        <v>173</v>
      </c>
      <c r="BC4" s="46" t="s">
        <v>194</v>
      </c>
      <c r="BD4" s="46">
        <v>0.746</v>
      </c>
      <c r="BE4" s="46">
        <v>1621</v>
      </c>
      <c r="BF4" s="46" t="s">
        <v>195</v>
      </c>
      <c r="BG4" s="46">
        <v>0.57599999999999996</v>
      </c>
      <c r="BH4" s="46">
        <v>8.6805999999999994E-2</v>
      </c>
      <c r="BI4" s="46">
        <v>47.1</v>
      </c>
      <c r="BJ4" s="46">
        <v>46.4</v>
      </c>
    </row>
    <row r="5" spans="1:62" x14ac:dyDescent="0.25">
      <c r="A5" s="46" t="s">
        <v>50</v>
      </c>
      <c r="B5" s="46">
        <v>70</v>
      </c>
      <c r="C5" s="46">
        <v>52</v>
      </c>
      <c r="D5" s="46">
        <v>18</v>
      </c>
      <c r="E5" s="52">
        <v>0.74299999999999999</v>
      </c>
      <c r="F5" s="46">
        <v>0.64700000000000002</v>
      </c>
      <c r="G5" s="46">
        <v>0.65500000000000003</v>
      </c>
      <c r="H5" s="46">
        <v>505</v>
      </c>
      <c r="I5" s="46">
        <v>8.5999999999999993E-2</v>
      </c>
      <c r="J5" s="46">
        <v>336</v>
      </c>
      <c r="K5" s="46">
        <v>5.7000000000000002E-2</v>
      </c>
      <c r="L5" s="46">
        <v>0.155</v>
      </c>
      <c r="M5" s="46">
        <v>0.63200000000000001</v>
      </c>
      <c r="N5" s="46">
        <v>0.746</v>
      </c>
      <c r="O5" s="46">
        <v>0.47799999999999998</v>
      </c>
      <c r="P5" s="46">
        <v>0.56499999999999995</v>
      </c>
      <c r="Q5" s="46">
        <v>0.82599999999999996</v>
      </c>
      <c r="R5" s="46">
        <v>6.4</v>
      </c>
      <c r="S5" s="46">
        <v>2.2999999999999998</v>
      </c>
      <c r="T5" s="46">
        <v>0.441</v>
      </c>
      <c r="U5" s="46">
        <v>264</v>
      </c>
      <c r="V5" s="46">
        <v>599</v>
      </c>
      <c r="W5" s="46">
        <v>0.65</v>
      </c>
      <c r="X5" s="46">
        <v>3.1</v>
      </c>
      <c r="Y5" s="46">
        <v>8.6</v>
      </c>
      <c r="Z5" s="46">
        <v>1.38</v>
      </c>
      <c r="AA5" s="46">
        <v>3.8</v>
      </c>
      <c r="AB5" s="46">
        <v>0.63500000000000001</v>
      </c>
      <c r="AC5" s="46">
        <v>278</v>
      </c>
      <c r="AD5" s="46">
        <v>438</v>
      </c>
      <c r="AE5" s="46">
        <v>0.48</v>
      </c>
      <c r="AF5" s="46">
        <v>2.2999999999999998</v>
      </c>
      <c r="AG5" s="46">
        <v>6.3</v>
      </c>
      <c r="AH5" s="46">
        <v>0.84</v>
      </c>
      <c r="AI5" s="46">
        <v>2.2999999999999998</v>
      </c>
      <c r="AJ5" s="46">
        <v>0.4</v>
      </c>
      <c r="AK5" s="46">
        <v>0.40500000000000003</v>
      </c>
      <c r="AL5" s="46">
        <v>5.0999999999999997E-2</v>
      </c>
      <c r="AM5" s="46">
        <v>2.7E-2</v>
      </c>
      <c r="AN5" s="46">
        <v>0.32400000000000001</v>
      </c>
      <c r="AO5" s="46">
        <v>0.53700000000000003</v>
      </c>
      <c r="AP5" s="46">
        <v>0.28599999999999998</v>
      </c>
      <c r="AQ5" s="46">
        <v>6.5</v>
      </c>
      <c r="AR5" s="46">
        <v>2.6</v>
      </c>
      <c r="AS5" s="46">
        <v>22</v>
      </c>
      <c r="AT5" s="46">
        <v>37.299999999999997</v>
      </c>
      <c r="AU5" s="46">
        <v>1.1299999999999999</v>
      </c>
      <c r="AV5" s="46">
        <v>11910</v>
      </c>
      <c r="AW5" s="46">
        <v>0.52300000000000002</v>
      </c>
      <c r="AX5" s="46">
        <v>32</v>
      </c>
      <c r="AY5" s="46" t="s">
        <v>196</v>
      </c>
      <c r="AZ5" s="46">
        <v>0.59399999999999997</v>
      </c>
      <c r="BA5" s="46">
        <v>0.16800000000000001</v>
      </c>
      <c r="BB5" s="46">
        <v>191</v>
      </c>
      <c r="BC5" s="46" t="s">
        <v>197</v>
      </c>
      <c r="BD5" s="46">
        <v>0.67500000000000004</v>
      </c>
      <c r="BE5" s="46">
        <v>1842</v>
      </c>
      <c r="BF5" s="46" t="s">
        <v>198</v>
      </c>
      <c r="BG5" s="46">
        <v>0.55500000000000005</v>
      </c>
      <c r="BH5" s="46">
        <v>8.8193999999999995E-2</v>
      </c>
      <c r="BI5" s="46">
        <v>46.5</v>
      </c>
      <c r="BJ5" s="46">
        <v>44.8</v>
      </c>
    </row>
    <row r="6" spans="1:62" x14ac:dyDescent="0.25">
      <c r="A6" s="46" t="s">
        <v>51</v>
      </c>
      <c r="B6" s="46">
        <v>86</v>
      </c>
      <c r="C6" s="46">
        <v>63</v>
      </c>
      <c r="D6" s="46">
        <v>23</v>
      </c>
      <c r="E6" s="52">
        <v>0.73299999999999998</v>
      </c>
      <c r="F6" s="46">
        <v>0.68100000000000005</v>
      </c>
      <c r="G6" s="46">
        <v>0.66700000000000004</v>
      </c>
      <c r="H6" s="46">
        <v>688</v>
      </c>
      <c r="I6" s="46">
        <v>0.1</v>
      </c>
      <c r="J6" s="46">
        <v>196</v>
      </c>
      <c r="K6" s="46">
        <v>2.8000000000000001E-2</v>
      </c>
      <c r="L6" s="46">
        <v>0.10100000000000001</v>
      </c>
      <c r="M6" s="46">
        <v>0.72</v>
      </c>
      <c r="N6" s="46">
        <v>0.74</v>
      </c>
      <c r="O6" s="46">
        <v>0.53</v>
      </c>
      <c r="P6" s="46">
        <v>0.59</v>
      </c>
      <c r="Q6" s="46">
        <v>0.876</v>
      </c>
      <c r="R6" s="46">
        <v>6.2</v>
      </c>
      <c r="S6" s="46">
        <v>2</v>
      </c>
      <c r="T6" s="46">
        <v>0.373</v>
      </c>
      <c r="U6" s="46">
        <v>244</v>
      </c>
      <c r="V6" s="46">
        <v>655</v>
      </c>
      <c r="W6" s="46">
        <v>0.57999999999999996</v>
      </c>
      <c r="X6" s="46">
        <v>2.9</v>
      </c>
      <c r="Y6" s="46">
        <v>7.6</v>
      </c>
      <c r="Z6" s="46">
        <v>1.07</v>
      </c>
      <c r="AA6" s="46">
        <v>2.8</v>
      </c>
      <c r="AB6" s="46">
        <v>0.67800000000000005</v>
      </c>
      <c r="AC6" s="46">
        <v>290</v>
      </c>
      <c r="AD6" s="46">
        <v>428</v>
      </c>
      <c r="AE6" s="46">
        <v>0.38</v>
      </c>
      <c r="AF6" s="46">
        <v>1.9</v>
      </c>
      <c r="AG6" s="46">
        <v>5</v>
      </c>
      <c r="AH6" s="46">
        <v>0.61</v>
      </c>
      <c r="AI6" s="46">
        <v>1.6</v>
      </c>
      <c r="AJ6" s="46">
        <v>0.374</v>
      </c>
      <c r="AK6" s="46">
        <v>0.38100000000000001</v>
      </c>
      <c r="AL6" s="46">
        <v>6.5000000000000002E-2</v>
      </c>
      <c r="AM6" s="46">
        <v>2.9000000000000001E-2</v>
      </c>
      <c r="AN6" s="46">
        <v>0.29199999999999998</v>
      </c>
      <c r="AO6" s="46">
        <v>0.50700000000000001</v>
      </c>
      <c r="AP6" s="46">
        <v>0.217</v>
      </c>
      <c r="AQ6" s="46">
        <v>6.4</v>
      </c>
      <c r="AR6" s="46">
        <v>2.4</v>
      </c>
      <c r="AS6" s="46">
        <v>39</v>
      </c>
      <c r="AT6" s="46">
        <v>49.3</v>
      </c>
      <c r="AU6" s="46">
        <v>1.17</v>
      </c>
      <c r="AV6" s="46">
        <v>14126</v>
      </c>
      <c r="AW6" s="46">
        <v>0.52400000000000002</v>
      </c>
      <c r="AX6" s="46">
        <v>45</v>
      </c>
      <c r="AY6" s="46" t="s">
        <v>199</v>
      </c>
      <c r="AZ6" s="46">
        <v>0.53300000000000003</v>
      </c>
      <c r="BA6" s="46">
        <v>0.19800000000000001</v>
      </c>
      <c r="BB6" s="46">
        <v>227</v>
      </c>
      <c r="BC6" s="46" t="s">
        <v>200</v>
      </c>
      <c r="BD6" s="46">
        <v>0.65200000000000002</v>
      </c>
      <c r="BE6" s="46">
        <v>2238</v>
      </c>
      <c r="BF6" s="46" t="s">
        <v>201</v>
      </c>
      <c r="BG6" s="46">
        <v>0.54600000000000004</v>
      </c>
      <c r="BH6" s="46">
        <v>9.0277999999999997E-2</v>
      </c>
      <c r="BI6" s="46">
        <v>49.1</v>
      </c>
      <c r="BJ6" s="46">
        <v>47.3</v>
      </c>
    </row>
    <row r="7" spans="1:62" x14ac:dyDescent="0.25">
      <c r="A7" s="46" t="s">
        <v>52</v>
      </c>
      <c r="B7" s="46">
        <v>75</v>
      </c>
      <c r="C7" s="46">
        <v>54</v>
      </c>
      <c r="D7" s="46">
        <v>21</v>
      </c>
      <c r="E7" s="52">
        <v>0.72</v>
      </c>
      <c r="F7" s="46">
        <v>0.66300000000000003</v>
      </c>
      <c r="G7" s="46">
        <v>0.65900000000000003</v>
      </c>
      <c r="H7" s="46">
        <v>402</v>
      </c>
      <c r="I7" s="46">
        <v>6.8000000000000005E-2</v>
      </c>
      <c r="J7" s="46">
        <v>176</v>
      </c>
      <c r="K7" s="46">
        <v>0.03</v>
      </c>
      <c r="L7" s="46">
        <v>8.2000000000000003E-2</v>
      </c>
      <c r="M7" s="46">
        <v>0.64</v>
      </c>
      <c r="N7" s="46">
        <v>0.73099999999999998</v>
      </c>
      <c r="O7" s="46">
        <v>0.54100000000000004</v>
      </c>
      <c r="P7" s="46">
        <v>0.59</v>
      </c>
      <c r="Q7" s="46">
        <v>0.85699999999999998</v>
      </c>
      <c r="R7" s="46">
        <v>6.3</v>
      </c>
      <c r="S7" s="46">
        <v>2.1</v>
      </c>
      <c r="T7" s="46">
        <v>0.40500000000000003</v>
      </c>
      <c r="U7" s="46">
        <v>225</v>
      </c>
      <c r="V7" s="46">
        <v>555</v>
      </c>
      <c r="W7" s="46">
        <v>0.6</v>
      </c>
      <c r="X7" s="46">
        <v>2.8</v>
      </c>
      <c r="Y7" s="46">
        <v>7.4</v>
      </c>
      <c r="Z7" s="46">
        <v>1.1499999999999999</v>
      </c>
      <c r="AA7" s="46">
        <v>3</v>
      </c>
      <c r="AB7" s="46">
        <v>0.68600000000000005</v>
      </c>
      <c r="AC7" s="46">
        <v>293</v>
      </c>
      <c r="AD7" s="46">
        <v>427</v>
      </c>
      <c r="AE7" s="46">
        <v>0.45</v>
      </c>
      <c r="AF7" s="46">
        <v>2.2000000000000002</v>
      </c>
      <c r="AG7" s="46">
        <v>5.7</v>
      </c>
      <c r="AH7" s="46">
        <v>0.69</v>
      </c>
      <c r="AI7" s="46">
        <v>1.8</v>
      </c>
      <c r="AJ7" s="46">
        <v>0.379</v>
      </c>
      <c r="AK7" s="46">
        <v>0.38600000000000001</v>
      </c>
      <c r="AL7" s="46">
        <v>7.5999999999999998E-2</v>
      </c>
      <c r="AM7" s="46">
        <v>3.5999999999999997E-2</v>
      </c>
      <c r="AN7" s="46">
        <v>0.307</v>
      </c>
      <c r="AO7" s="46">
        <v>0.5</v>
      </c>
      <c r="AP7" s="46">
        <v>0.245</v>
      </c>
      <c r="AQ7" s="46">
        <v>6.4</v>
      </c>
      <c r="AR7" s="46">
        <v>2.4</v>
      </c>
      <c r="AS7" s="46">
        <v>43</v>
      </c>
      <c r="AT7" s="46">
        <v>75</v>
      </c>
      <c r="AU7" s="46">
        <v>1.1200000000000001</v>
      </c>
      <c r="AV7" s="46">
        <v>11799</v>
      </c>
      <c r="AW7" s="46">
        <v>0.52200000000000002</v>
      </c>
      <c r="AX7" s="46">
        <v>30</v>
      </c>
      <c r="AY7" s="46" t="s">
        <v>202</v>
      </c>
      <c r="AZ7" s="46">
        <v>0.6</v>
      </c>
      <c r="BA7" s="46">
        <v>0.154</v>
      </c>
      <c r="BB7" s="46">
        <v>195</v>
      </c>
      <c r="BC7" s="46" t="s">
        <v>203</v>
      </c>
      <c r="BD7" s="46">
        <v>0.67200000000000004</v>
      </c>
      <c r="BE7" s="46">
        <v>1858</v>
      </c>
      <c r="BF7" s="46" t="s">
        <v>204</v>
      </c>
      <c r="BG7" s="46">
        <v>0.55400000000000005</v>
      </c>
      <c r="BH7" s="46">
        <v>8.2639000000000004E-2</v>
      </c>
      <c r="BI7" s="46">
        <v>45.6</v>
      </c>
      <c r="BJ7" s="46">
        <v>45.2</v>
      </c>
    </row>
    <row r="8" spans="1:62" x14ac:dyDescent="0.25">
      <c r="A8" s="46" t="s">
        <v>53</v>
      </c>
      <c r="B8" s="46">
        <v>73</v>
      </c>
      <c r="C8" s="46">
        <v>49</v>
      </c>
      <c r="D8" s="46">
        <v>24</v>
      </c>
      <c r="E8" s="52">
        <v>0.67100000000000004</v>
      </c>
      <c r="F8" s="46">
        <v>0.68600000000000005</v>
      </c>
      <c r="G8" s="46">
        <v>0.67800000000000005</v>
      </c>
      <c r="H8" s="46">
        <v>520</v>
      </c>
      <c r="I8" s="46">
        <v>9.0999999999999998E-2</v>
      </c>
      <c r="J8" s="46">
        <v>179</v>
      </c>
      <c r="K8" s="46">
        <v>3.1E-2</v>
      </c>
      <c r="L8" s="46">
        <v>8.2000000000000003E-2</v>
      </c>
      <c r="M8" s="46">
        <v>0.61599999999999999</v>
      </c>
      <c r="N8" s="46">
        <v>0.77200000000000002</v>
      </c>
      <c r="O8" s="46">
        <v>0.54800000000000004</v>
      </c>
      <c r="P8" s="46">
        <v>0.59699999999999998</v>
      </c>
      <c r="Q8" s="46">
        <v>0.878</v>
      </c>
      <c r="R8" s="46">
        <v>6.2</v>
      </c>
      <c r="S8" s="46">
        <v>2</v>
      </c>
      <c r="T8" s="46">
        <v>0.38800000000000001</v>
      </c>
      <c r="U8" s="46">
        <v>188</v>
      </c>
      <c r="V8" s="46">
        <v>484</v>
      </c>
      <c r="W8" s="46">
        <v>0.54</v>
      </c>
      <c r="X8" s="46">
        <v>2.6</v>
      </c>
      <c r="Y8" s="46">
        <v>6.6</v>
      </c>
      <c r="Z8" s="46">
        <v>1.02</v>
      </c>
      <c r="AA8" s="46">
        <v>2.6</v>
      </c>
      <c r="AB8" s="46">
        <v>0.67700000000000005</v>
      </c>
      <c r="AC8" s="46">
        <v>235</v>
      </c>
      <c r="AD8" s="46">
        <v>347</v>
      </c>
      <c r="AE8" s="46">
        <v>0.38</v>
      </c>
      <c r="AF8" s="46">
        <v>1.9</v>
      </c>
      <c r="AG8" s="46">
        <v>4.8</v>
      </c>
      <c r="AH8" s="46">
        <v>0.61</v>
      </c>
      <c r="AI8" s="46">
        <v>1.5</v>
      </c>
      <c r="AJ8" s="46">
        <v>0.35299999999999998</v>
      </c>
      <c r="AK8" s="46">
        <v>0.35599999999999998</v>
      </c>
      <c r="AL8" s="46">
        <v>6.5000000000000002E-2</v>
      </c>
      <c r="AM8" s="46">
        <v>3.1E-2</v>
      </c>
      <c r="AN8" s="46">
        <v>0.27800000000000002</v>
      </c>
      <c r="AO8" s="46">
        <v>0.48099999999999998</v>
      </c>
      <c r="AP8" s="46">
        <v>0.20799999999999999</v>
      </c>
      <c r="AQ8" s="46">
        <v>6.1</v>
      </c>
      <c r="AR8" s="46">
        <v>2.2000000000000002</v>
      </c>
      <c r="AS8" s="46">
        <v>43</v>
      </c>
      <c r="AT8" s="46">
        <v>70.3</v>
      </c>
      <c r="AU8" s="46">
        <v>1.1299999999999999</v>
      </c>
      <c r="AV8" s="46">
        <v>11228</v>
      </c>
      <c r="AW8" s="46">
        <v>0.52200000000000002</v>
      </c>
      <c r="AX8" s="46">
        <v>43</v>
      </c>
      <c r="AY8" s="46" t="s">
        <v>205</v>
      </c>
      <c r="AZ8" s="46">
        <v>0.60499999999999998</v>
      </c>
      <c r="BA8" s="46">
        <v>0.23200000000000001</v>
      </c>
      <c r="BB8" s="46">
        <v>185</v>
      </c>
      <c r="BC8" s="46" t="s">
        <v>206</v>
      </c>
      <c r="BD8" s="46">
        <v>0.64900000000000002</v>
      </c>
      <c r="BE8" s="46">
        <v>1819</v>
      </c>
      <c r="BF8" s="46" t="s">
        <v>207</v>
      </c>
      <c r="BG8" s="46">
        <v>0.54500000000000004</v>
      </c>
      <c r="BH8" s="46">
        <v>7.7778E-2</v>
      </c>
      <c r="BI8" s="46">
        <v>44.3</v>
      </c>
      <c r="BJ8" s="46">
        <v>43.7</v>
      </c>
    </row>
    <row r="9" spans="1:62" x14ac:dyDescent="0.25">
      <c r="A9" s="46" t="s">
        <v>54</v>
      </c>
      <c r="B9" s="46">
        <v>71</v>
      </c>
      <c r="C9" s="46">
        <v>48</v>
      </c>
      <c r="D9" s="46">
        <v>23</v>
      </c>
      <c r="E9" s="52">
        <v>0.67600000000000005</v>
      </c>
      <c r="F9" s="46">
        <v>0.67500000000000004</v>
      </c>
      <c r="G9" s="46">
        <v>0.65800000000000003</v>
      </c>
      <c r="H9" s="46">
        <v>559</v>
      </c>
      <c r="I9" s="46">
        <v>9.1999999999999998E-2</v>
      </c>
      <c r="J9" s="46">
        <v>133</v>
      </c>
      <c r="K9" s="46">
        <v>2.1999999999999999E-2</v>
      </c>
      <c r="L9" s="46">
        <v>5.8000000000000003E-2</v>
      </c>
      <c r="M9" s="46">
        <v>0.625</v>
      </c>
      <c r="N9" s="46">
        <v>0.755</v>
      </c>
      <c r="O9" s="46">
        <v>0.54200000000000004</v>
      </c>
      <c r="P9" s="46">
        <v>0.57599999999999996</v>
      </c>
      <c r="Q9" s="46">
        <v>0.86699999999999999</v>
      </c>
      <c r="R9" s="46">
        <v>6.2</v>
      </c>
      <c r="S9" s="46">
        <v>2</v>
      </c>
      <c r="T9" s="46">
        <v>0.36199999999999999</v>
      </c>
      <c r="U9" s="46">
        <v>209</v>
      </c>
      <c r="V9" s="46">
        <v>577</v>
      </c>
      <c r="W9" s="46">
        <v>0.6</v>
      </c>
      <c r="X9" s="46">
        <v>3</v>
      </c>
      <c r="Y9" s="46">
        <v>8.1</v>
      </c>
      <c r="Z9" s="46">
        <v>1.07</v>
      </c>
      <c r="AA9" s="46">
        <v>2.9</v>
      </c>
      <c r="AB9" s="46">
        <v>0.66800000000000004</v>
      </c>
      <c r="AC9" s="46">
        <v>261</v>
      </c>
      <c r="AD9" s="46">
        <v>391</v>
      </c>
      <c r="AE9" s="46">
        <v>0.4</v>
      </c>
      <c r="AF9" s="46">
        <v>2</v>
      </c>
      <c r="AG9" s="46">
        <v>5.5</v>
      </c>
      <c r="AH9" s="46">
        <v>0.67</v>
      </c>
      <c r="AI9" s="46">
        <v>1.8</v>
      </c>
      <c r="AJ9" s="46">
        <v>0.376</v>
      </c>
      <c r="AK9" s="46">
        <v>0.39</v>
      </c>
      <c r="AL9" s="46">
        <v>9.4E-2</v>
      </c>
      <c r="AM9" s="46">
        <v>3.7999999999999999E-2</v>
      </c>
      <c r="AN9" s="46">
        <v>0.28399999999999997</v>
      </c>
      <c r="AO9" s="46">
        <v>0.53200000000000003</v>
      </c>
      <c r="AP9" s="46">
        <v>0.217</v>
      </c>
      <c r="AQ9" s="46">
        <v>6.7</v>
      </c>
      <c r="AR9" s="46">
        <v>2.5</v>
      </c>
      <c r="AS9" s="46">
        <v>46</v>
      </c>
      <c r="AT9" s="46">
        <v>50.5</v>
      </c>
      <c r="AU9" s="46">
        <v>1.1599999999999999</v>
      </c>
      <c r="AV9" s="46">
        <v>12512</v>
      </c>
      <c r="AW9" s="46">
        <v>0.52200000000000002</v>
      </c>
      <c r="AX9" s="46">
        <v>40</v>
      </c>
      <c r="AY9" s="46" t="s">
        <v>208</v>
      </c>
      <c r="AZ9" s="46">
        <v>0.42499999999999999</v>
      </c>
      <c r="BA9" s="46">
        <v>0.20499999999999999</v>
      </c>
      <c r="BB9" s="46">
        <v>195</v>
      </c>
      <c r="BC9" s="46" t="s">
        <v>209</v>
      </c>
      <c r="BD9" s="46">
        <v>0.621</v>
      </c>
      <c r="BE9" s="46">
        <v>1942</v>
      </c>
      <c r="BF9" s="46" t="s">
        <v>210</v>
      </c>
      <c r="BG9" s="46">
        <v>0.54500000000000004</v>
      </c>
      <c r="BH9" s="46">
        <v>8.2639000000000004E-2</v>
      </c>
      <c r="BI9" s="46">
        <v>43.4</v>
      </c>
      <c r="BJ9" s="46">
        <v>40.6</v>
      </c>
    </row>
    <row r="10" spans="1:62" x14ac:dyDescent="0.25">
      <c r="A10" s="46" t="s">
        <v>55</v>
      </c>
      <c r="B10" s="46">
        <v>71</v>
      </c>
      <c r="C10" s="46">
        <v>49</v>
      </c>
      <c r="D10" s="46">
        <v>22</v>
      </c>
      <c r="E10" s="52">
        <v>0.69</v>
      </c>
      <c r="F10" s="46">
        <v>0.7</v>
      </c>
      <c r="G10" s="46">
        <v>0.65800000000000003</v>
      </c>
      <c r="H10" s="46">
        <v>1017</v>
      </c>
      <c r="I10" s="46">
        <v>0.16</v>
      </c>
      <c r="J10" s="46">
        <v>117</v>
      </c>
      <c r="K10" s="46">
        <v>1.7999999999999999E-2</v>
      </c>
      <c r="L10" s="46">
        <v>5.1999999999999998E-2</v>
      </c>
      <c r="M10" s="46">
        <v>0.64400000000000002</v>
      </c>
      <c r="N10" s="46">
        <v>0.79200000000000004</v>
      </c>
      <c r="O10" s="46">
        <v>0.53500000000000003</v>
      </c>
      <c r="P10" s="46">
        <v>0.56499999999999995</v>
      </c>
      <c r="Q10" s="46">
        <v>0.89800000000000002</v>
      </c>
      <c r="R10" s="46">
        <v>6.1</v>
      </c>
      <c r="S10" s="46">
        <v>1.8</v>
      </c>
      <c r="T10" s="46">
        <v>0.38700000000000001</v>
      </c>
      <c r="U10" s="46">
        <v>166</v>
      </c>
      <c r="V10" s="46">
        <v>429</v>
      </c>
      <c r="W10" s="46">
        <v>0.42</v>
      </c>
      <c r="X10" s="46">
        <v>2.1</v>
      </c>
      <c r="Y10" s="46">
        <v>6</v>
      </c>
      <c r="Z10" s="46">
        <v>0.82</v>
      </c>
      <c r="AA10" s="46">
        <v>2.2999999999999998</v>
      </c>
      <c r="AB10" s="46">
        <v>0.66800000000000004</v>
      </c>
      <c r="AC10" s="46">
        <v>211</v>
      </c>
      <c r="AD10" s="46">
        <v>316</v>
      </c>
      <c r="AE10" s="46">
        <v>0.31</v>
      </c>
      <c r="AF10" s="46">
        <v>1.6</v>
      </c>
      <c r="AG10" s="46">
        <v>4.5</v>
      </c>
      <c r="AH10" s="46">
        <v>0.52</v>
      </c>
      <c r="AI10" s="46">
        <v>1.5</v>
      </c>
      <c r="AJ10" s="46">
        <v>0.34100000000000003</v>
      </c>
      <c r="AK10" s="46">
        <v>0.34899999999999998</v>
      </c>
      <c r="AL10" s="46">
        <v>7.4999999999999997E-2</v>
      </c>
      <c r="AM10" s="46">
        <v>2.8000000000000001E-2</v>
      </c>
      <c r="AN10" s="46">
        <v>0.27</v>
      </c>
      <c r="AO10" s="46">
        <v>0.46600000000000003</v>
      </c>
      <c r="AP10" s="46">
        <v>0.16400000000000001</v>
      </c>
      <c r="AQ10" s="46">
        <v>6.5</v>
      </c>
      <c r="AR10" s="46">
        <v>2.2000000000000002</v>
      </c>
      <c r="AS10" s="46">
        <v>53</v>
      </c>
      <c r="AT10" s="46">
        <v>68.2</v>
      </c>
      <c r="AU10" s="46">
        <v>1.1399999999999999</v>
      </c>
      <c r="AV10" s="46">
        <v>12923</v>
      </c>
      <c r="AW10" s="46">
        <v>0.51700000000000002</v>
      </c>
      <c r="AX10" s="46">
        <v>61</v>
      </c>
      <c r="AY10" s="46" t="s">
        <v>211</v>
      </c>
      <c r="AZ10" s="46">
        <v>0.54100000000000004</v>
      </c>
      <c r="BA10" s="46">
        <v>0.30199999999999999</v>
      </c>
      <c r="BB10" s="46">
        <v>202</v>
      </c>
      <c r="BC10" s="46" t="s">
        <v>212</v>
      </c>
      <c r="BD10" s="46">
        <v>0.629</v>
      </c>
      <c r="BE10" s="46">
        <v>2047</v>
      </c>
      <c r="BF10" s="46" t="s">
        <v>213</v>
      </c>
      <c r="BG10" s="46">
        <v>0.53400000000000003</v>
      </c>
      <c r="BH10" s="46">
        <v>8.7499999999999994E-2</v>
      </c>
      <c r="BI10" s="46">
        <v>44.3</v>
      </c>
      <c r="BJ10" s="46">
        <v>41.5</v>
      </c>
    </row>
    <row r="11" spans="1:62" x14ac:dyDescent="0.25">
      <c r="A11" s="46" t="s">
        <v>56</v>
      </c>
      <c r="B11" s="46">
        <v>71</v>
      </c>
      <c r="C11" s="46">
        <v>52</v>
      </c>
      <c r="D11" s="46">
        <v>19</v>
      </c>
      <c r="E11" s="52">
        <v>0.73199999999999998</v>
      </c>
      <c r="F11" s="46">
        <v>0.68</v>
      </c>
      <c r="G11" s="46">
        <v>0.67700000000000005</v>
      </c>
      <c r="H11" s="46">
        <v>519</v>
      </c>
      <c r="I11" s="46">
        <v>9.5000000000000001E-2</v>
      </c>
      <c r="J11" s="46">
        <v>221</v>
      </c>
      <c r="K11" s="46">
        <v>0.04</v>
      </c>
      <c r="L11" s="46">
        <v>0.107</v>
      </c>
      <c r="M11" s="46">
        <v>0.622</v>
      </c>
      <c r="N11" s="46">
        <v>0.77300000000000002</v>
      </c>
      <c r="O11" s="46">
        <v>0.52800000000000002</v>
      </c>
      <c r="P11" s="46">
        <v>0.59099999999999997</v>
      </c>
      <c r="Q11" s="46">
        <v>0.86499999999999999</v>
      </c>
      <c r="R11" s="46">
        <v>6.1</v>
      </c>
      <c r="S11" s="46">
        <v>2</v>
      </c>
      <c r="T11" s="46">
        <v>0.38200000000000001</v>
      </c>
      <c r="U11" s="46">
        <v>203</v>
      </c>
      <c r="V11" s="46">
        <v>531</v>
      </c>
      <c r="W11" s="46">
        <v>0.61</v>
      </c>
      <c r="X11" s="46">
        <v>2.9</v>
      </c>
      <c r="Y11" s="46">
        <v>7.5</v>
      </c>
      <c r="Z11" s="46">
        <v>1.1200000000000001</v>
      </c>
      <c r="AA11" s="46">
        <v>2.9</v>
      </c>
      <c r="AB11" s="46">
        <v>0.64900000000000002</v>
      </c>
      <c r="AC11" s="46">
        <v>224</v>
      </c>
      <c r="AD11" s="46">
        <v>345</v>
      </c>
      <c r="AE11" s="46">
        <v>0.39</v>
      </c>
      <c r="AF11" s="46">
        <v>1.9</v>
      </c>
      <c r="AG11" s="46">
        <v>4.9000000000000004</v>
      </c>
      <c r="AH11" s="46">
        <v>0.67</v>
      </c>
      <c r="AI11" s="46">
        <v>1.7</v>
      </c>
      <c r="AJ11" s="46">
        <v>0.378</v>
      </c>
      <c r="AK11" s="46">
        <v>0.39100000000000001</v>
      </c>
      <c r="AL11" s="46">
        <v>7.9000000000000001E-2</v>
      </c>
      <c r="AM11" s="46">
        <v>2.9000000000000001E-2</v>
      </c>
      <c r="AN11" s="46">
        <v>0.30099999999999999</v>
      </c>
      <c r="AO11" s="46">
        <v>0.51</v>
      </c>
      <c r="AP11" s="46">
        <v>0.23300000000000001</v>
      </c>
      <c r="AQ11" s="46">
        <v>6.5</v>
      </c>
      <c r="AR11" s="46">
        <v>2.5</v>
      </c>
      <c r="AS11" s="46">
        <v>33.5</v>
      </c>
      <c r="AT11" s="46">
        <v>40.9</v>
      </c>
      <c r="AU11" s="46">
        <v>1.18</v>
      </c>
      <c r="AV11" s="46">
        <v>11176</v>
      </c>
      <c r="AW11" s="46">
        <v>0.52600000000000002</v>
      </c>
      <c r="AX11" s="46">
        <v>40</v>
      </c>
      <c r="AY11" s="46" t="s">
        <v>71</v>
      </c>
      <c r="AZ11" s="46">
        <v>0.52500000000000002</v>
      </c>
      <c r="BA11" s="46">
        <v>0.221</v>
      </c>
      <c r="BB11" s="46">
        <v>181</v>
      </c>
      <c r="BC11" s="46" t="s">
        <v>214</v>
      </c>
      <c r="BD11" s="46">
        <v>0.66900000000000004</v>
      </c>
      <c r="BE11" s="46">
        <v>1764</v>
      </c>
      <c r="BF11" s="46" t="s">
        <v>215</v>
      </c>
      <c r="BG11" s="46">
        <v>0.55300000000000005</v>
      </c>
      <c r="BH11" s="46">
        <v>8.3333000000000004E-2</v>
      </c>
      <c r="BI11" s="46">
        <v>47.1</v>
      </c>
      <c r="BJ11" s="46">
        <v>45.8</v>
      </c>
    </row>
    <row r="12" spans="1:62" x14ac:dyDescent="0.25">
      <c r="A12" s="46" t="s">
        <v>57</v>
      </c>
      <c r="B12" s="46">
        <v>79</v>
      </c>
      <c r="C12" s="46">
        <v>54</v>
      </c>
      <c r="D12" s="46">
        <v>25</v>
      </c>
      <c r="E12" s="52">
        <v>0.68400000000000005</v>
      </c>
      <c r="F12" s="46">
        <v>0.64300000000000002</v>
      </c>
      <c r="G12" s="46">
        <v>0.64300000000000002</v>
      </c>
      <c r="H12" s="46">
        <v>321</v>
      </c>
      <c r="I12" s="46">
        <v>5.6000000000000001E-2</v>
      </c>
      <c r="J12" s="46">
        <v>180</v>
      </c>
      <c r="K12" s="46">
        <v>3.1E-2</v>
      </c>
      <c r="L12" s="46">
        <v>7.1999999999999995E-2</v>
      </c>
      <c r="M12" s="46">
        <v>0.56100000000000005</v>
      </c>
      <c r="N12" s="46">
        <v>0.71799999999999997</v>
      </c>
      <c r="O12" s="46">
        <v>0.54700000000000004</v>
      </c>
      <c r="P12" s="46">
        <v>0.58899999999999997</v>
      </c>
      <c r="Q12" s="46">
        <v>0.80300000000000005</v>
      </c>
      <c r="R12" s="46">
        <v>6.3</v>
      </c>
      <c r="S12" s="46">
        <v>2.2000000000000002</v>
      </c>
      <c r="T12" s="46">
        <v>0.42199999999999999</v>
      </c>
      <c r="U12" s="46">
        <v>274</v>
      </c>
      <c r="V12" s="46">
        <v>650</v>
      </c>
      <c r="W12" s="46">
        <v>0.7</v>
      </c>
      <c r="X12" s="46">
        <v>3.3</v>
      </c>
      <c r="Y12" s="46">
        <v>8.1999999999999993</v>
      </c>
      <c r="Z12" s="46">
        <v>1.38</v>
      </c>
      <c r="AA12" s="46">
        <v>3.5</v>
      </c>
      <c r="AB12" s="46">
        <v>0.59699999999999998</v>
      </c>
      <c r="AC12" s="46">
        <v>267</v>
      </c>
      <c r="AD12" s="46">
        <v>447</v>
      </c>
      <c r="AE12" s="46">
        <v>0.49</v>
      </c>
      <c r="AF12" s="46">
        <v>2.2999999999999998</v>
      </c>
      <c r="AG12" s="46">
        <v>5.7</v>
      </c>
      <c r="AH12" s="46">
        <v>0.91</v>
      </c>
      <c r="AI12" s="46">
        <v>2.2999999999999998</v>
      </c>
      <c r="AJ12" s="46">
        <v>0.41299999999999998</v>
      </c>
      <c r="AK12" s="46">
        <v>0.41599999999999998</v>
      </c>
      <c r="AL12" s="46">
        <v>5.6000000000000001E-2</v>
      </c>
      <c r="AM12" s="46">
        <v>3.5999999999999997E-2</v>
      </c>
      <c r="AN12" s="46">
        <v>0.33600000000000002</v>
      </c>
      <c r="AO12" s="46">
        <v>0.53600000000000003</v>
      </c>
      <c r="AP12" s="46">
        <v>0.29499999999999998</v>
      </c>
      <c r="AQ12" s="46">
        <v>6.7</v>
      </c>
      <c r="AR12" s="46">
        <v>2.7</v>
      </c>
      <c r="AS12" s="46">
        <v>38</v>
      </c>
      <c r="AT12" s="46">
        <v>72.5</v>
      </c>
      <c r="AU12" s="46">
        <v>1.1599999999999999</v>
      </c>
      <c r="AV12" s="46">
        <v>11928</v>
      </c>
      <c r="AW12" s="46">
        <v>0.52400000000000002</v>
      </c>
      <c r="AX12" s="46">
        <v>22</v>
      </c>
      <c r="AY12" s="46" t="s">
        <v>216</v>
      </c>
      <c r="AZ12" s="46">
        <v>0.63600000000000001</v>
      </c>
      <c r="BA12" s="46">
        <v>0.111</v>
      </c>
      <c r="BB12" s="46">
        <v>198</v>
      </c>
      <c r="BC12" s="46" t="s">
        <v>217</v>
      </c>
      <c r="BD12" s="46">
        <v>0.626</v>
      </c>
      <c r="BE12" s="46">
        <v>1846</v>
      </c>
      <c r="BF12" s="46" t="s">
        <v>218</v>
      </c>
      <c r="BG12" s="46">
        <v>0.54700000000000004</v>
      </c>
      <c r="BH12" s="46">
        <v>7.4305999999999997E-2</v>
      </c>
      <c r="BI12" s="46">
        <v>42.6</v>
      </c>
      <c r="BJ12" s="46">
        <v>42.5</v>
      </c>
    </row>
    <row r="13" spans="1:62" x14ac:dyDescent="0.25">
      <c r="A13" s="46" t="s">
        <v>58</v>
      </c>
      <c r="B13" s="46">
        <v>63</v>
      </c>
      <c r="C13" s="46">
        <v>39</v>
      </c>
      <c r="D13" s="46">
        <v>24</v>
      </c>
      <c r="E13" s="52">
        <v>0.61899999999999999</v>
      </c>
      <c r="F13" s="46">
        <v>0.65200000000000002</v>
      </c>
      <c r="G13" s="46">
        <v>0.65300000000000002</v>
      </c>
      <c r="H13" s="46">
        <v>383</v>
      </c>
      <c r="I13" s="46">
        <v>7.4999999999999997E-2</v>
      </c>
      <c r="J13" s="46">
        <v>207</v>
      </c>
      <c r="K13" s="46">
        <v>4.1000000000000002E-2</v>
      </c>
      <c r="L13" s="46">
        <v>0.106</v>
      </c>
      <c r="M13" s="46">
        <v>0.61499999999999999</v>
      </c>
      <c r="N13" s="46">
        <v>0.72599999999999998</v>
      </c>
      <c r="O13" s="46">
        <v>0.53400000000000003</v>
      </c>
      <c r="P13" s="46">
        <v>0.59699999999999998</v>
      </c>
      <c r="Q13" s="46">
        <v>0.82899999999999996</v>
      </c>
      <c r="R13" s="46">
        <v>6.4</v>
      </c>
      <c r="S13" s="46">
        <v>2.2000000000000002</v>
      </c>
      <c r="T13" s="46">
        <v>0.35899999999999999</v>
      </c>
      <c r="U13" s="46">
        <v>139</v>
      </c>
      <c r="V13" s="46">
        <v>387</v>
      </c>
      <c r="W13" s="46">
        <v>0.49</v>
      </c>
      <c r="X13" s="46">
        <v>2.2999999999999998</v>
      </c>
      <c r="Y13" s="46">
        <v>6.1</v>
      </c>
      <c r="Z13" s="46">
        <v>0.84</v>
      </c>
      <c r="AA13" s="46">
        <v>2.2000000000000002</v>
      </c>
      <c r="AB13" s="46">
        <v>0.65300000000000002</v>
      </c>
      <c r="AC13" s="46">
        <v>256</v>
      </c>
      <c r="AD13" s="46">
        <v>392</v>
      </c>
      <c r="AE13" s="46">
        <v>0.49</v>
      </c>
      <c r="AF13" s="46">
        <v>2.4</v>
      </c>
      <c r="AG13" s="46">
        <v>6.2</v>
      </c>
      <c r="AH13" s="46">
        <v>0.82</v>
      </c>
      <c r="AI13" s="46">
        <v>2.2000000000000002</v>
      </c>
      <c r="AJ13" s="46">
        <v>0.35499999999999998</v>
      </c>
      <c r="AK13" s="46">
        <v>0.35599999999999998</v>
      </c>
      <c r="AL13" s="46">
        <v>6.8000000000000005E-2</v>
      </c>
      <c r="AM13" s="46">
        <v>3.5999999999999997E-2</v>
      </c>
      <c r="AN13" s="46">
        <v>0.27400000000000002</v>
      </c>
      <c r="AO13" s="46">
        <v>0.49099999999999999</v>
      </c>
      <c r="AP13" s="46">
        <v>0.17699999999999999</v>
      </c>
      <c r="AQ13" s="46">
        <v>6.4</v>
      </c>
      <c r="AR13" s="46">
        <v>2.2999999999999998</v>
      </c>
      <c r="AS13" s="46">
        <v>45</v>
      </c>
      <c r="AT13" s="46">
        <v>71.099999999999994</v>
      </c>
      <c r="AU13" s="46">
        <v>1.02</v>
      </c>
      <c r="AV13" s="46">
        <v>10100</v>
      </c>
      <c r="AW13" s="46">
        <v>0.505</v>
      </c>
      <c r="AX13" s="46">
        <v>36</v>
      </c>
      <c r="AY13" s="46" t="s">
        <v>219</v>
      </c>
      <c r="AZ13" s="46">
        <v>0.77800000000000002</v>
      </c>
      <c r="BA13" s="46">
        <v>0.217</v>
      </c>
      <c r="BB13" s="46">
        <v>166</v>
      </c>
      <c r="BC13" s="46" t="s">
        <v>220</v>
      </c>
      <c r="BD13" s="46">
        <v>0.57799999999999996</v>
      </c>
      <c r="BE13" s="46">
        <v>1578</v>
      </c>
      <c r="BF13" s="46" t="s">
        <v>221</v>
      </c>
      <c r="BG13" s="46">
        <v>0.505</v>
      </c>
      <c r="BH13" s="46">
        <v>8.4028000000000005E-2</v>
      </c>
      <c r="BI13" s="46">
        <v>46.1</v>
      </c>
      <c r="BJ13" s="46">
        <v>45.4</v>
      </c>
    </row>
    <row r="14" spans="1:62" x14ac:dyDescent="0.25">
      <c r="A14" s="46" t="s">
        <v>59</v>
      </c>
      <c r="B14" s="46">
        <v>62</v>
      </c>
      <c r="C14" s="46">
        <v>41</v>
      </c>
      <c r="D14" s="46">
        <v>21</v>
      </c>
      <c r="E14" s="52">
        <v>0.66100000000000003</v>
      </c>
      <c r="F14" s="46">
        <v>0.68100000000000005</v>
      </c>
      <c r="G14" s="46">
        <v>0.65400000000000003</v>
      </c>
      <c r="H14" s="46">
        <v>626</v>
      </c>
      <c r="I14" s="46">
        <v>0.129</v>
      </c>
      <c r="J14" s="46">
        <v>132</v>
      </c>
      <c r="K14" s="46">
        <v>2.7E-2</v>
      </c>
      <c r="L14" s="46">
        <v>7.0000000000000007E-2</v>
      </c>
      <c r="M14" s="46">
        <v>0.61</v>
      </c>
      <c r="N14" s="46">
        <v>0.76800000000000002</v>
      </c>
      <c r="O14" s="46">
        <v>0.54400000000000004</v>
      </c>
      <c r="P14" s="46">
        <v>0.58499999999999996</v>
      </c>
      <c r="Q14" s="46">
        <v>0.85899999999999999</v>
      </c>
      <c r="R14" s="46">
        <v>6.1</v>
      </c>
      <c r="S14" s="46">
        <v>2</v>
      </c>
      <c r="T14" s="46">
        <v>0.39900000000000002</v>
      </c>
      <c r="U14" s="46">
        <v>185</v>
      </c>
      <c r="V14" s="46">
        <v>464</v>
      </c>
      <c r="W14" s="46">
        <v>0.6</v>
      </c>
      <c r="X14" s="46">
        <v>2.8</v>
      </c>
      <c r="Y14" s="46">
        <v>7.5</v>
      </c>
      <c r="Z14" s="46">
        <v>1.1299999999999999</v>
      </c>
      <c r="AA14" s="46">
        <v>3</v>
      </c>
      <c r="AB14" s="46">
        <v>0.66200000000000003</v>
      </c>
      <c r="AC14" s="46">
        <v>217</v>
      </c>
      <c r="AD14" s="46">
        <v>328</v>
      </c>
      <c r="AE14" s="46">
        <v>0.42</v>
      </c>
      <c r="AF14" s="46">
        <v>2</v>
      </c>
      <c r="AG14" s="46">
        <v>5.3</v>
      </c>
      <c r="AH14" s="46">
        <v>0.68</v>
      </c>
      <c r="AI14" s="46">
        <v>1.8</v>
      </c>
      <c r="AJ14" s="46">
        <v>0.38200000000000001</v>
      </c>
      <c r="AK14" s="46">
        <v>0.38100000000000001</v>
      </c>
      <c r="AL14" s="46">
        <v>6.4000000000000001E-2</v>
      </c>
      <c r="AM14" s="46">
        <v>4.2000000000000003E-2</v>
      </c>
      <c r="AN14" s="46">
        <v>0.29799999999999999</v>
      </c>
      <c r="AO14" s="46">
        <v>0.51900000000000002</v>
      </c>
      <c r="AP14" s="46">
        <v>0.23899999999999999</v>
      </c>
      <c r="AQ14" s="46">
        <v>6.5</v>
      </c>
      <c r="AR14" s="46">
        <v>2.5</v>
      </c>
      <c r="AS14" s="46">
        <v>52</v>
      </c>
      <c r="AT14" s="46">
        <v>81.400000000000006</v>
      </c>
      <c r="AU14" s="46">
        <v>1.2</v>
      </c>
      <c r="AV14" s="46">
        <v>9883</v>
      </c>
      <c r="AW14" s="46">
        <v>0.52800000000000002</v>
      </c>
      <c r="AX14" s="46">
        <v>30</v>
      </c>
      <c r="AY14" s="46" t="s">
        <v>222</v>
      </c>
      <c r="AZ14" s="46">
        <v>0.53300000000000003</v>
      </c>
      <c r="BA14" s="46">
        <v>0.184</v>
      </c>
      <c r="BB14" s="46">
        <v>163</v>
      </c>
      <c r="BC14" s="46" t="s">
        <v>223</v>
      </c>
      <c r="BD14" s="46">
        <v>0.63800000000000001</v>
      </c>
      <c r="BE14" s="46">
        <v>1561</v>
      </c>
      <c r="BF14" s="46" t="s">
        <v>224</v>
      </c>
      <c r="BG14" s="46">
        <v>0.55200000000000005</v>
      </c>
      <c r="BH14" s="46">
        <v>7.8472E-2</v>
      </c>
      <c r="BI14" s="46">
        <v>43.1</v>
      </c>
      <c r="BJ14" s="46">
        <v>42.6</v>
      </c>
    </row>
    <row r="15" spans="1:62" x14ac:dyDescent="0.25">
      <c r="A15" s="46" t="s">
        <v>60</v>
      </c>
      <c r="B15" s="46">
        <v>66</v>
      </c>
      <c r="C15" s="46">
        <v>44</v>
      </c>
      <c r="D15" s="46">
        <v>22</v>
      </c>
      <c r="E15" s="52">
        <v>0.66700000000000004</v>
      </c>
      <c r="F15" s="46">
        <v>0.66</v>
      </c>
      <c r="G15" s="46">
        <v>0.64600000000000002</v>
      </c>
      <c r="H15" s="46">
        <v>429</v>
      </c>
      <c r="I15" s="46">
        <v>8.4000000000000005E-2</v>
      </c>
      <c r="J15" s="46">
        <v>128</v>
      </c>
      <c r="K15" s="46">
        <v>2.5000000000000001E-2</v>
      </c>
      <c r="L15" s="46">
        <v>6.6000000000000003E-2</v>
      </c>
      <c r="M15" s="46">
        <v>0.623</v>
      </c>
      <c r="N15" s="46">
        <v>0.73299999999999998</v>
      </c>
      <c r="O15" s="46">
        <v>0.53800000000000003</v>
      </c>
      <c r="P15" s="46">
        <v>0.57599999999999996</v>
      </c>
      <c r="Q15" s="46">
        <v>0.83099999999999996</v>
      </c>
      <c r="R15" s="46">
        <v>6.2</v>
      </c>
      <c r="S15" s="46">
        <v>2.1</v>
      </c>
      <c r="T15" s="46">
        <v>0.36499999999999999</v>
      </c>
      <c r="U15" s="46">
        <v>186</v>
      </c>
      <c r="V15" s="46">
        <v>509</v>
      </c>
      <c r="W15" s="46">
        <v>0.63</v>
      </c>
      <c r="X15" s="46">
        <v>3</v>
      </c>
      <c r="Y15" s="46">
        <v>7.7</v>
      </c>
      <c r="Z15" s="46">
        <v>1.0900000000000001</v>
      </c>
      <c r="AA15" s="46">
        <v>2.8</v>
      </c>
      <c r="AB15" s="46">
        <v>0.64</v>
      </c>
      <c r="AC15" s="46">
        <v>249</v>
      </c>
      <c r="AD15" s="46">
        <v>389</v>
      </c>
      <c r="AE15" s="46">
        <v>0.47</v>
      </c>
      <c r="AF15" s="46">
        <v>2.2999999999999998</v>
      </c>
      <c r="AG15" s="46">
        <v>5.9</v>
      </c>
      <c r="AH15" s="46">
        <v>0.82</v>
      </c>
      <c r="AI15" s="46">
        <v>2.1</v>
      </c>
      <c r="AJ15" s="46">
        <v>0.376</v>
      </c>
      <c r="AK15" s="46">
        <v>0.379</v>
      </c>
      <c r="AL15" s="46">
        <v>7.0000000000000007E-2</v>
      </c>
      <c r="AM15" s="46">
        <v>3.6999999999999998E-2</v>
      </c>
      <c r="AN15" s="46">
        <v>0.28499999999999998</v>
      </c>
      <c r="AO15" s="46">
        <v>0.52700000000000002</v>
      </c>
      <c r="AP15" s="46">
        <v>0.22900000000000001</v>
      </c>
      <c r="AQ15" s="46">
        <v>6.4</v>
      </c>
      <c r="AR15" s="46">
        <v>2.4</v>
      </c>
      <c r="AS15" s="46">
        <v>51</v>
      </c>
      <c r="AT15" s="46">
        <v>58.9</v>
      </c>
      <c r="AU15" s="46">
        <v>1.1000000000000001</v>
      </c>
      <c r="AV15" s="46">
        <v>10365</v>
      </c>
      <c r="AW15" s="46">
        <v>0.51600000000000001</v>
      </c>
      <c r="AX15" s="46">
        <v>23</v>
      </c>
      <c r="AY15" s="46" t="s">
        <v>225</v>
      </c>
      <c r="AZ15" s="46">
        <v>0.56499999999999995</v>
      </c>
      <c r="BA15" s="46">
        <v>0.13500000000000001</v>
      </c>
      <c r="BB15" s="46">
        <v>171</v>
      </c>
      <c r="BC15" s="46" t="s">
        <v>226</v>
      </c>
      <c r="BD15" s="46">
        <v>0.60799999999999998</v>
      </c>
      <c r="BE15" s="46">
        <v>1641</v>
      </c>
      <c r="BF15" s="46" t="s">
        <v>227</v>
      </c>
      <c r="BG15" s="46">
        <v>0.53200000000000003</v>
      </c>
      <c r="BH15" s="46">
        <v>7.9167000000000001E-2</v>
      </c>
      <c r="BI15" s="46">
        <v>43.9</v>
      </c>
      <c r="BJ15" s="46">
        <v>43.5</v>
      </c>
    </row>
    <row r="16" spans="1:62" x14ac:dyDescent="0.25">
      <c r="A16" s="46" t="s">
        <v>61</v>
      </c>
      <c r="B16" s="46">
        <v>53</v>
      </c>
      <c r="C16" s="46">
        <v>32</v>
      </c>
      <c r="D16" s="46">
        <v>21</v>
      </c>
      <c r="E16" s="52">
        <v>0.60399999999999998</v>
      </c>
      <c r="F16" s="46">
        <v>0.67400000000000004</v>
      </c>
      <c r="G16" s="46">
        <v>0.67</v>
      </c>
      <c r="H16" s="46">
        <v>526</v>
      </c>
      <c r="I16" s="46">
        <v>0.112</v>
      </c>
      <c r="J16" s="46">
        <v>233</v>
      </c>
      <c r="K16" s="46">
        <v>4.9000000000000002E-2</v>
      </c>
      <c r="L16" s="46">
        <v>0.14499999999999999</v>
      </c>
      <c r="M16" s="46">
        <v>0.66</v>
      </c>
      <c r="N16" s="46">
        <v>0.753</v>
      </c>
      <c r="O16" s="46">
        <v>0.52100000000000002</v>
      </c>
      <c r="P16" s="46">
        <v>0.60899999999999999</v>
      </c>
      <c r="Q16" s="46">
        <v>0.85599999999999998</v>
      </c>
      <c r="R16" s="46">
        <v>6.2</v>
      </c>
      <c r="S16" s="46">
        <v>2</v>
      </c>
      <c r="T16" s="46">
        <v>0.377</v>
      </c>
      <c r="U16" s="46">
        <v>126</v>
      </c>
      <c r="V16" s="46">
        <v>334</v>
      </c>
      <c r="W16" s="46">
        <v>0.44</v>
      </c>
      <c r="X16" s="46">
        <v>2.2000000000000002</v>
      </c>
      <c r="Y16" s="46">
        <v>6.3</v>
      </c>
      <c r="Z16" s="46">
        <v>0.83</v>
      </c>
      <c r="AA16" s="46">
        <v>2.4</v>
      </c>
      <c r="AB16" s="46">
        <v>0.67500000000000004</v>
      </c>
      <c r="AC16" s="46">
        <v>226</v>
      </c>
      <c r="AD16" s="46">
        <v>335</v>
      </c>
      <c r="AE16" s="46">
        <v>0.44</v>
      </c>
      <c r="AF16" s="46">
        <v>2.2000000000000002</v>
      </c>
      <c r="AG16" s="46">
        <v>6.3</v>
      </c>
      <c r="AH16" s="46">
        <v>0.72</v>
      </c>
      <c r="AI16" s="46">
        <v>2.1</v>
      </c>
      <c r="AJ16" s="46">
        <v>0.34300000000000003</v>
      </c>
      <c r="AK16" s="46">
        <v>0.34</v>
      </c>
      <c r="AL16" s="46">
        <v>5.5E-2</v>
      </c>
      <c r="AM16" s="46">
        <v>3.2000000000000001E-2</v>
      </c>
      <c r="AN16" s="46">
        <v>0.27500000000000002</v>
      </c>
      <c r="AO16" s="46">
        <v>0.46100000000000002</v>
      </c>
      <c r="AP16" s="46">
        <v>0.16700000000000001</v>
      </c>
      <c r="AQ16" s="46">
        <v>6.3</v>
      </c>
      <c r="AR16" s="46">
        <v>2.2000000000000002</v>
      </c>
      <c r="AS16" s="46">
        <v>49</v>
      </c>
      <c r="AT16" s="46">
        <v>57.3</v>
      </c>
      <c r="AU16" s="46">
        <v>1.05</v>
      </c>
      <c r="AV16" s="46">
        <v>9501</v>
      </c>
      <c r="AW16" s="46">
        <v>0.50700000000000001</v>
      </c>
      <c r="AX16" s="46">
        <v>38</v>
      </c>
      <c r="AY16" s="46" t="s">
        <v>228</v>
      </c>
      <c r="AZ16" s="46">
        <v>0.55300000000000005</v>
      </c>
      <c r="BA16" s="46">
        <v>0.252</v>
      </c>
      <c r="BB16" s="46">
        <v>151</v>
      </c>
      <c r="BC16" s="46" t="s">
        <v>229</v>
      </c>
      <c r="BD16" s="46">
        <v>0.55600000000000005</v>
      </c>
      <c r="BE16" s="46">
        <v>1511</v>
      </c>
      <c r="BF16" s="46" t="s">
        <v>230</v>
      </c>
      <c r="BG16" s="46">
        <v>0.51100000000000001</v>
      </c>
      <c r="BH16" s="46">
        <v>9.2360999999999999E-2</v>
      </c>
      <c r="BI16" s="46">
        <v>46.8</v>
      </c>
      <c r="BJ16" s="46">
        <v>44.6</v>
      </c>
    </row>
    <row r="17" spans="1:62" x14ac:dyDescent="0.25">
      <c r="A17" s="46" t="s">
        <v>62</v>
      </c>
      <c r="B17" s="46">
        <v>64</v>
      </c>
      <c r="C17" s="46">
        <v>39</v>
      </c>
      <c r="D17" s="46">
        <v>25</v>
      </c>
      <c r="E17" s="52">
        <v>0.60899999999999999</v>
      </c>
      <c r="F17" s="46">
        <v>0.64500000000000002</v>
      </c>
      <c r="G17" s="46">
        <v>0.63500000000000001</v>
      </c>
      <c r="H17" s="46">
        <v>420</v>
      </c>
      <c r="I17" s="46">
        <v>8.1000000000000003E-2</v>
      </c>
      <c r="J17" s="46">
        <v>159</v>
      </c>
      <c r="K17" s="46">
        <v>0.03</v>
      </c>
      <c r="L17" s="46">
        <v>7.6999999999999999E-2</v>
      </c>
      <c r="M17" s="46">
        <v>0.60599999999999998</v>
      </c>
      <c r="N17" s="46">
        <v>0.72199999999999998</v>
      </c>
      <c r="O17" s="46">
        <v>0.52600000000000002</v>
      </c>
      <c r="P17" s="46">
        <v>0.56999999999999995</v>
      </c>
      <c r="Q17" s="46">
        <v>0.81399999999999995</v>
      </c>
      <c r="R17" s="46">
        <v>6.4</v>
      </c>
      <c r="S17" s="46">
        <v>2.2999999999999998</v>
      </c>
      <c r="T17" s="46">
        <v>0.39500000000000002</v>
      </c>
      <c r="U17" s="46">
        <v>207</v>
      </c>
      <c r="V17" s="46">
        <v>524</v>
      </c>
      <c r="W17" s="46">
        <v>0.64</v>
      </c>
      <c r="X17" s="46">
        <v>3.1</v>
      </c>
      <c r="Y17" s="46">
        <v>8.1999999999999993</v>
      </c>
      <c r="Z17" s="46">
        <v>1.21</v>
      </c>
      <c r="AA17" s="46">
        <v>3.2</v>
      </c>
      <c r="AB17" s="46">
        <v>0.61299999999999999</v>
      </c>
      <c r="AC17" s="46">
        <v>241</v>
      </c>
      <c r="AD17" s="46">
        <v>393</v>
      </c>
      <c r="AE17" s="46">
        <v>0.48</v>
      </c>
      <c r="AF17" s="46">
        <v>2.2999999999999998</v>
      </c>
      <c r="AG17" s="46">
        <v>6.1</v>
      </c>
      <c r="AH17" s="46">
        <v>0.89</v>
      </c>
      <c r="AI17" s="46">
        <v>2.4</v>
      </c>
      <c r="AJ17" s="46">
        <v>0.39200000000000002</v>
      </c>
      <c r="AK17" s="46">
        <v>0.39300000000000002</v>
      </c>
      <c r="AL17" s="46">
        <v>5.8000000000000003E-2</v>
      </c>
      <c r="AM17" s="46">
        <v>3.5000000000000003E-2</v>
      </c>
      <c r="AN17" s="46">
        <v>0.32200000000000001</v>
      </c>
      <c r="AO17" s="46">
        <v>0.50800000000000001</v>
      </c>
      <c r="AP17" s="46">
        <v>0.254</v>
      </c>
      <c r="AQ17" s="46">
        <v>6.7</v>
      </c>
      <c r="AR17" s="46">
        <v>2.6</v>
      </c>
      <c r="AS17" s="46">
        <v>53.5</v>
      </c>
      <c r="AT17" s="46">
        <v>80.400000000000006</v>
      </c>
      <c r="AU17" s="46">
        <v>1.1000000000000001</v>
      </c>
      <c r="AV17" s="46">
        <v>10629</v>
      </c>
      <c r="AW17" s="46">
        <v>0.51600000000000001</v>
      </c>
      <c r="AX17" s="46">
        <v>29</v>
      </c>
      <c r="AY17" s="46" t="s">
        <v>231</v>
      </c>
      <c r="AZ17" s="46">
        <v>0.48299999999999998</v>
      </c>
      <c r="BA17" s="46">
        <v>0.17</v>
      </c>
      <c r="BB17" s="46">
        <v>171</v>
      </c>
      <c r="BC17" s="46" t="s">
        <v>232</v>
      </c>
      <c r="BD17" s="46">
        <v>0.59099999999999997</v>
      </c>
      <c r="BE17" s="46">
        <v>1631</v>
      </c>
      <c r="BF17" s="46" t="s">
        <v>233</v>
      </c>
      <c r="BG17" s="46">
        <v>0.53500000000000003</v>
      </c>
      <c r="BH17" s="46">
        <v>8.1250000000000003E-2</v>
      </c>
      <c r="BI17" s="46">
        <v>43.9</v>
      </c>
      <c r="BJ17" s="46">
        <v>42.4</v>
      </c>
    </row>
    <row r="18" spans="1:62" x14ac:dyDescent="0.25">
      <c r="A18" s="46" t="s">
        <v>63</v>
      </c>
      <c r="B18" s="46">
        <v>46</v>
      </c>
      <c r="C18" s="46">
        <v>30</v>
      </c>
      <c r="D18" s="46">
        <v>16</v>
      </c>
      <c r="E18" s="52">
        <v>0.65200000000000002</v>
      </c>
      <c r="F18" s="46">
        <v>0.65600000000000003</v>
      </c>
      <c r="G18" s="46">
        <v>0.63400000000000001</v>
      </c>
      <c r="H18" s="46">
        <v>346</v>
      </c>
      <c r="I18" s="46">
        <v>9.5000000000000001E-2</v>
      </c>
      <c r="J18" s="46">
        <v>78</v>
      </c>
      <c r="K18" s="46">
        <v>2.1999999999999999E-2</v>
      </c>
      <c r="L18" s="46">
        <v>5.8000000000000003E-2</v>
      </c>
      <c r="M18" s="46">
        <v>0.628</v>
      </c>
      <c r="N18" s="46">
        <v>0.74</v>
      </c>
      <c r="O18" s="46">
        <v>0.51400000000000001</v>
      </c>
      <c r="P18" s="46">
        <v>0.54600000000000004</v>
      </c>
      <c r="Q18" s="46">
        <v>0.81799999999999995</v>
      </c>
      <c r="R18" s="46">
        <v>6.2</v>
      </c>
      <c r="S18" s="46">
        <v>2.1</v>
      </c>
      <c r="T18" s="46">
        <v>0.39600000000000002</v>
      </c>
      <c r="U18" s="46">
        <v>133</v>
      </c>
      <c r="V18" s="46">
        <v>336</v>
      </c>
      <c r="W18" s="46">
        <v>0.57999999999999996</v>
      </c>
      <c r="X18" s="46">
        <v>2.8</v>
      </c>
      <c r="Y18" s="46">
        <v>7.3</v>
      </c>
      <c r="Z18" s="46">
        <v>1.1100000000000001</v>
      </c>
      <c r="AA18" s="46">
        <v>2.9</v>
      </c>
      <c r="AB18" s="46">
        <v>0.61499999999999999</v>
      </c>
      <c r="AC18" s="46">
        <v>169</v>
      </c>
      <c r="AD18" s="46">
        <v>275</v>
      </c>
      <c r="AE18" s="46">
        <v>0.47</v>
      </c>
      <c r="AF18" s="46">
        <v>2.2999999999999998</v>
      </c>
      <c r="AG18" s="46">
        <v>6</v>
      </c>
      <c r="AH18" s="46">
        <v>0.88</v>
      </c>
      <c r="AI18" s="46">
        <v>2.2999999999999998</v>
      </c>
      <c r="AJ18" s="46">
        <v>0.379</v>
      </c>
      <c r="AK18" s="46">
        <v>0.39300000000000002</v>
      </c>
      <c r="AL18" s="46">
        <v>9.2999999999999999E-2</v>
      </c>
      <c r="AM18" s="46">
        <v>3.6999999999999998E-2</v>
      </c>
      <c r="AN18" s="46">
        <v>0.29099999999999998</v>
      </c>
      <c r="AO18" s="46">
        <v>0.51800000000000002</v>
      </c>
      <c r="AP18" s="46">
        <v>0.22900000000000001</v>
      </c>
      <c r="AQ18" s="46">
        <v>6.6</v>
      </c>
      <c r="AR18" s="46">
        <v>2.5</v>
      </c>
      <c r="AS18" s="46">
        <v>44</v>
      </c>
      <c r="AT18" s="46">
        <v>58.8</v>
      </c>
      <c r="AU18" s="46">
        <v>1.1000000000000001</v>
      </c>
      <c r="AV18" s="46">
        <v>7476</v>
      </c>
      <c r="AW18" s="46">
        <v>0.51300000000000001</v>
      </c>
      <c r="AX18" s="46">
        <v>20</v>
      </c>
      <c r="AY18" s="46" t="s">
        <v>234</v>
      </c>
      <c r="AZ18" s="46">
        <v>0.7</v>
      </c>
      <c r="BA18" s="46">
        <v>0.16700000000000001</v>
      </c>
      <c r="BB18" s="46">
        <v>120</v>
      </c>
      <c r="BC18" s="46" t="s">
        <v>235</v>
      </c>
      <c r="BD18" s="46">
        <v>0.60799999999999998</v>
      </c>
      <c r="BE18" s="46">
        <v>1164</v>
      </c>
      <c r="BF18" s="46" t="s">
        <v>236</v>
      </c>
      <c r="BG18" s="46">
        <v>0.52400000000000002</v>
      </c>
      <c r="BH18" s="46">
        <v>8.6805999999999994E-2</v>
      </c>
      <c r="BI18" s="46">
        <v>47.9</v>
      </c>
      <c r="BJ18" s="46">
        <v>46.2</v>
      </c>
    </row>
    <row r="19" spans="1:62" x14ac:dyDescent="0.25">
      <c r="A19" s="46" t="s">
        <v>64</v>
      </c>
      <c r="B19" s="46">
        <v>54</v>
      </c>
      <c r="C19" s="46">
        <v>33</v>
      </c>
      <c r="D19" s="46">
        <v>21</v>
      </c>
      <c r="E19" s="52">
        <v>0.61099999999999999</v>
      </c>
      <c r="F19" s="46">
        <v>0.64400000000000002</v>
      </c>
      <c r="G19" s="46">
        <v>0.65600000000000003</v>
      </c>
      <c r="H19" s="46">
        <v>588</v>
      </c>
      <c r="I19" s="46">
        <v>0.14599999999999999</v>
      </c>
      <c r="J19" s="46">
        <v>387</v>
      </c>
      <c r="K19" s="46">
        <v>9.6000000000000002E-2</v>
      </c>
      <c r="L19" s="46">
        <v>0.23499999999999999</v>
      </c>
      <c r="M19" s="46">
        <v>0.59099999999999997</v>
      </c>
      <c r="N19" s="46">
        <v>0.77900000000000003</v>
      </c>
      <c r="O19" s="46">
        <v>0.44700000000000001</v>
      </c>
      <c r="P19" s="46">
        <v>0.58399999999999996</v>
      </c>
      <c r="Q19" s="46">
        <v>0.80500000000000005</v>
      </c>
      <c r="R19" s="46">
        <v>6.4</v>
      </c>
      <c r="S19" s="46">
        <v>2.2999999999999998</v>
      </c>
      <c r="T19" s="46">
        <v>0.40500000000000003</v>
      </c>
      <c r="U19" s="46">
        <v>126</v>
      </c>
      <c r="V19" s="46">
        <v>311</v>
      </c>
      <c r="W19" s="46">
        <v>0.49</v>
      </c>
      <c r="X19" s="46">
        <v>2.2999999999999998</v>
      </c>
      <c r="Y19" s="46">
        <v>5.8</v>
      </c>
      <c r="Z19" s="46">
        <v>0.93</v>
      </c>
      <c r="AA19" s="46">
        <v>2.2999999999999998</v>
      </c>
      <c r="AB19" s="46">
        <v>0.625</v>
      </c>
      <c r="AC19" s="46">
        <v>207</v>
      </c>
      <c r="AD19" s="46">
        <v>331</v>
      </c>
      <c r="AE19" s="46">
        <v>0.52</v>
      </c>
      <c r="AF19" s="46">
        <v>2.5</v>
      </c>
      <c r="AG19" s="46">
        <v>6.1</v>
      </c>
      <c r="AH19" s="46">
        <v>0.92</v>
      </c>
      <c r="AI19" s="46">
        <v>2.2999999999999998</v>
      </c>
      <c r="AJ19" s="46">
        <v>0.36399999999999999</v>
      </c>
      <c r="AK19" s="46">
        <v>0.36899999999999999</v>
      </c>
      <c r="AL19" s="46">
        <v>7.2999999999999995E-2</v>
      </c>
      <c r="AM19" s="46">
        <v>3.5000000000000003E-2</v>
      </c>
      <c r="AN19" s="46">
        <v>0.29599999999999999</v>
      </c>
      <c r="AO19" s="46">
        <v>0.46899999999999997</v>
      </c>
      <c r="AP19" s="46">
        <v>0.19900000000000001</v>
      </c>
      <c r="AQ19" s="46">
        <v>6.3</v>
      </c>
      <c r="AR19" s="46">
        <v>2.2999999999999998</v>
      </c>
      <c r="AS19" s="46">
        <v>43</v>
      </c>
      <c r="AT19" s="46">
        <v>82.9</v>
      </c>
      <c r="AU19" s="46">
        <v>1.02</v>
      </c>
      <c r="AV19" s="46">
        <v>8047</v>
      </c>
      <c r="AW19" s="46">
        <v>0.504</v>
      </c>
      <c r="AX19" s="46">
        <v>25</v>
      </c>
      <c r="AY19" s="46" t="s">
        <v>96</v>
      </c>
      <c r="AZ19" s="46">
        <v>0.52</v>
      </c>
      <c r="BA19" s="46">
        <v>0.185</v>
      </c>
      <c r="BB19" s="46">
        <v>135</v>
      </c>
      <c r="BC19" s="46" t="s">
        <v>237</v>
      </c>
      <c r="BD19" s="46">
        <v>0.55600000000000005</v>
      </c>
      <c r="BE19" s="46">
        <v>1268</v>
      </c>
      <c r="BF19" s="46" t="s">
        <v>238</v>
      </c>
      <c r="BG19" s="46">
        <v>0.502</v>
      </c>
      <c r="BH19" s="46">
        <v>6.8056000000000005E-2</v>
      </c>
      <c r="BI19" s="46">
        <v>39.299999999999997</v>
      </c>
      <c r="BJ19" s="46">
        <v>39.6</v>
      </c>
    </row>
    <row r="20" spans="1:62" x14ac:dyDescent="0.25">
      <c r="A20" s="46" t="s">
        <v>65</v>
      </c>
      <c r="B20" s="46">
        <v>59</v>
      </c>
      <c r="C20" s="46">
        <v>36</v>
      </c>
      <c r="D20" s="46">
        <v>23</v>
      </c>
      <c r="E20" s="52">
        <v>0.61</v>
      </c>
      <c r="F20" s="46">
        <v>0.61</v>
      </c>
      <c r="G20" s="46">
        <v>0.61299999999999999</v>
      </c>
      <c r="H20" s="46">
        <v>129</v>
      </c>
      <c r="I20" s="46">
        <v>2.8000000000000001E-2</v>
      </c>
      <c r="J20" s="46">
        <v>102</v>
      </c>
      <c r="K20" s="46">
        <v>2.3E-2</v>
      </c>
      <c r="L20" s="46">
        <v>7.9000000000000001E-2</v>
      </c>
      <c r="M20" s="46">
        <v>0.71499999999999997</v>
      </c>
      <c r="N20" s="46">
        <v>0.64800000000000002</v>
      </c>
      <c r="O20" s="46">
        <v>0.51700000000000002</v>
      </c>
      <c r="P20" s="46">
        <v>0.56100000000000005</v>
      </c>
      <c r="Q20" s="46">
        <v>0.76200000000000001</v>
      </c>
      <c r="R20" s="46">
        <v>6.6</v>
      </c>
      <c r="S20" s="46">
        <v>2.6</v>
      </c>
      <c r="T20" s="46">
        <v>0.43</v>
      </c>
      <c r="U20" s="46">
        <v>202</v>
      </c>
      <c r="V20" s="46">
        <v>470</v>
      </c>
      <c r="W20" s="46">
        <v>0.68</v>
      </c>
      <c r="X20" s="46">
        <v>3.1</v>
      </c>
      <c r="Y20" s="46">
        <v>8</v>
      </c>
      <c r="Z20" s="46">
        <v>1.34</v>
      </c>
      <c r="AA20" s="46">
        <v>3.4</v>
      </c>
      <c r="AB20" s="46">
        <v>0.61399999999999999</v>
      </c>
      <c r="AC20" s="46">
        <v>261</v>
      </c>
      <c r="AD20" s="46">
        <v>425</v>
      </c>
      <c r="AE20" s="46">
        <v>0.62</v>
      </c>
      <c r="AF20" s="46">
        <v>2.8</v>
      </c>
      <c r="AG20" s="46">
        <v>7.2</v>
      </c>
      <c r="AH20" s="46">
        <v>1.0900000000000001</v>
      </c>
      <c r="AI20" s="46">
        <v>2.8</v>
      </c>
      <c r="AJ20" s="46">
        <v>0.40699999999999997</v>
      </c>
      <c r="AK20" s="46">
        <v>0.41</v>
      </c>
      <c r="AL20" s="46">
        <v>5.8000000000000003E-2</v>
      </c>
      <c r="AM20" s="46">
        <v>3.5000000000000003E-2</v>
      </c>
      <c r="AN20" s="46">
        <v>0.33500000000000002</v>
      </c>
      <c r="AO20" s="46">
        <v>0.52200000000000002</v>
      </c>
      <c r="AP20" s="46">
        <v>0.29099999999999998</v>
      </c>
      <c r="AQ20" s="46">
        <v>6.5</v>
      </c>
      <c r="AR20" s="46">
        <v>2.7</v>
      </c>
      <c r="AS20" s="46">
        <v>70</v>
      </c>
      <c r="AT20" s="46">
        <v>87.4</v>
      </c>
      <c r="AU20" s="46">
        <v>1.04</v>
      </c>
      <c r="AV20" s="46">
        <v>9064</v>
      </c>
      <c r="AW20" s="46">
        <v>0.50800000000000001</v>
      </c>
      <c r="AX20" s="46">
        <v>19</v>
      </c>
      <c r="AY20" s="46">
        <v>45456</v>
      </c>
      <c r="AZ20" s="46">
        <v>0.316</v>
      </c>
      <c r="BA20" s="46">
        <v>0.126</v>
      </c>
      <c r="BB20" s="46">
        <v>151</v>
      </c>
      <c r="BC20" s="46" t="s">
        <v>239</v>
      </c>
      <c r="BD20" s="46">
        <v>0.57599999999999996</v>
      </c>
      <c r="BE20" s="46">
        <v>1384</v>
      </c>
      <c r="BF20" s="46" t="s">
        <v>240</v>
      </c>
      <c r="BG20" s="46">
        <v>0.52600000000000002</v>
      </c>
      <c r="BH20" s="46">
        <v>8.0556000000000003E-2</v>
      </c>
      <c r="BI20" s="46">
        <v>45.2</v>
      </c>
      <c r="BJ20" s="46">
        <v>45.2</v>
      </c>
    </row>
    <row r="21" spans="1:62" x14ac:dyDescent="0.25">
      <c r="A21" s="46" t="s">
        <v>66</v>
      </c>
      <c r="B21" s="46">
        <v>62</v>
      </c>
      <c r="C21" s="46">
        <v>38</v>
      </c>
      <c r="D21" s="46">
        <v>24</v>
      </c>
      <c r="E21" s="52">
        <v>0.61299999999999999</v>
      </c>
      <c r="F21" s="46">
        <v>0.63200000000000001</v>
      </c>
      <c r="G21" s="46">
        <v>0.629</v>
      </c>
      <c r="H21" s="46">
        <v>300</v>
      </c>
      <c r="I21" s="46">
        <v>6.3E-2</v>
      </c>
      <c r="J21" s="46">
        <v>150</v>
      </c>
      <c r="K21" s="46">
        <v>3.2000000000000001E-2</v>
      </c>
      <c r="L21" s="46">
        <v>8.2000000000000003E-2</v>
      </c>
      <c r="M21" s="46">
        <v>0.61199999999999999</v>
      </c>
      <c r="N21" s="46">
        <v>0.69699999999999995</v>
      </c>
      <c r="O21" s="46">
        <v>0.53</v>
      </c>
      <c r="P21" s="46">
        <v>0.57699999999999996</v>
      </c>
      <c r="Q21" s="46">
        <v>0.78500000000000003</v>
      </c>
      <c r="R21" s="46">
        <v>6.3</v>
      </c>
      <c r="S21" s="46">
        <v>2.2999999999999998</v>
      </c>
      <c r="T21" s="46">
        <v>0.46300000000000002</v>
      </c>
      <c r="U21" s="46">
        <v>186</v>
      </c>
      <c r="V21" s="46">
        <v>402</v>
      </c>
      <c r="W21" s="46">
        <v>0.53</v>
      </c>
      <c r="X21" s="46">
        <v>2.5</v>
      </c>
      <c r="Y21" s="46">
        <v>6.5</v>
      </c>
      <c r="Z21" s="46">
        <v>1.17</v>
      </c>
      <c r="AA21" s="46">
        <v>3</v>
      </c>
      <c r="AB21" s="46">
        <v>0.60399999999999998</v>
      </c>
      <c r="AC21" s="46">
        <v>246</v>
      </c>
      <c r="AD21" s="46">
        <v>407</v>
      </c>
      <c r="AE21" s="46">
        <v>0.54</v>
      </c>
      <c r="AF21" s="46">
        <v>2.6</v>
      </c>
      <c r="AG21" s="46">
        <v>6.6</v>
      </c>
      <c r="AH21" s="46">
        <v>1.01</v>
      </c>
      <c r="AI21" s="46">
        <v>2.6</v>
      </c>
      <c r="AJ21" s="46">
        <v>0.378</v>
      </c>
      <c r="AK21" s="46">
        <v>0.39500000000000002</v>
      </c>
      <c r="AL21" s="46">
        <v>9.1999999999999998E-2</v>
      </c>
      <c r="AM21" s="46">
        <v>3.2000000000000001E-2</v>
      </c>
      <c r="AN21" s="46">
        <v>0.29099999999999998</v>
      </c>
      <c r="AO21" s="46">
        <v>0.52</v>
      </c>
      <c r="AP21" s="46">
        <v>0.24399999999999999</v>
      </c>
      <c r="AQ21" s="46">
        <v>6.3</v>
      </c>
      <c r="AR21" s="46">
        <v>2.4</v>
      </c>
      <c r="AS21" s="46">
        <v>66</v>
      </c>
      <c r="AT21" s="46">
        <v>77</v>
      </c>
      <c r="AU21" s="46">
        <v>1.03</v>
      </c>
      <c r="AV21" s="46">
        <v>9535</v>
      </c>
      <c r="AW21" s="46">
        <v>0.504</v>
      </c>
      <c r="AX21" s="46">
        <v>24</v>
      </c>
      <c r="AY21" s="46">
        <v>45638</v>
      </c>
      <c r="AZ21" s="46">
        <v>0.5</v>
      </c>
      <c r="BA21" s="46">
        <v>0.151</v>
      </c>
      <c r="BB21" s="46">
        <v>159</v>
      </c>
      <c r="BC21" s="46" t="s">
        <v>241</v>
      </c>
      <c r="BD21" s="46">
        <v>0.56599999999999995</v>
      </c>
      <c r="BE21" s="46">
        <v>1511</v>
      </c>
      <c r="BF21" s="46" t="s">
        <v>242</v>
      </c>
      <c r="BG21" s="46">
        <v>0.51200000000000001</v>
      </c>
      <c r="BH21" s="46">
        <v>7.9167000000000001E-2</v>
      </c>
      <c r="BI21" s="46">
        <v>44.6</v>
      </c>
      <c r="BJ21" s="46">
        <v>44.6</v>
      </c>
    </row>
    <row r="22" spans="1:62" x14ac:dyDescent="0.25">
      <c r="A22" s="46" t="s">
        <v>67</v>
      </c>
      <c r="B22" s="46">
        <v>51</v>
      </c>
      <c r="C22" s="46">
        <v>29</v>
      </c>
      <c r="D22" s="46">
        <v>22</v>
      </c>
      <c r="E22" s="52">
        <v>0.56899999999999995</v>
      </c>
      <c r="F22" s="46">
        <v>0.65600000000000003</v>
      </c>
      <c r="G22" s="46">
        <v>0.64</v>
      </c>
      <c r="H22" s="46">
        <v>410</v>
      </c>
      <c r="I22" s="46">
        <v>9.8000000000000004E-2</v>
      </c>
      <c r="J22" s="46">
        <v>127</v>
      </c>
      <c r="K22" s="46">
        <v>0.03</v>
      </c>
      <c r="L22" s="46">
        <v>7.4999999999999997E-2</v>
      </c>
      <c r="M22" s="46">
        <v>0.59399999999999997</v>
      </c>
      <c r="N22" s="46">
        <v>0.75</v>
      </c>
      <c r="O22" s="46">
        <v>0.51700000000000002</v>
      </c>
      <c r="P22" s="46">
        <v>0.55900000000000005</v>
      </c>
      <c r="Q22" s="46">
        <v>0.83199999999999996</v>
      </c>
      <c r="R22" s="46">
        <v>6.4</v>
      </c>
      <c r="S22" s="46">
        <v>2.2000000000000002</v>
      </c>
      <c r="T22" s="46">
        <v>0.39900000000000002</v>
      </c>
      <c r="U22" s="46">
        <v>129</v>
      </c>
      <c r="V22" s="46">
        <v>323</v>
      </c>
      <c r="W22" s="46">
        <v>0.49</v>
      </c>
      <c r="X22" s="46">
        <v>2.4</v>
      </c>
      <c r="Y22" s="46">
        <v>6.3</v>
      </c>
      <c r="Z22" s="46">
        <v>0.98</v>
      </c>
      <c r="AA22" s="46">
        <v>2.5</v>
      </c>
      <c r="AB22" s="46">
        <v>0.63200000000000001</v>
      </c>
      <c r="AC22" s="46">
        <v>187</v>
      </c>
      <c r="AD22" s="46">
        <v>296</v>
      </c>
      <c r="AE22" s="46">
        <v>0.46</v>
      </c>
      <c r="AF22" s="46">
        <v>2.2000000000000002</v>
      </c>
      <c r="AG22" s="46">
        <v>5.8</v>
      </c>
      <c r="AH22" s="46">
        <v>0.83</v>
      </c>
      <c r="AI22" s="46">
        <v>2.1</v>
      </c>
      <c r="AJ22" s="46">
        <v>0.35399999999999998</v>
      </c>
      <c r="AK22" s="46">
        <v>0.374</v>
      </c>
      <c r="AL22" s="46">
        <v>0.124</v>
      </c>
      <c r="AM22" s="46">
        <v>4.2000000000000003E-2</v>
      </c>
      <c r="AN22" s="46">
        <v>0.27100000000000002</v>
      </c>
      <c r="AO22" s="46">
        <v>0.49199999999999999</v>
      </c>
      <c r="AP22" s="46">
        <v>0.19700000000000001</v>
      </c>
      <c r="AQ22" s="46">
        <v>6.4</v>
      </c>
      <c r="AR22" s="46">
        <v>2.2000000000000002</v>
      </c>
      <c r="AS22" s="46">
        <v>58</v>
      </c>
      <c r="AT22" s="46">
        <v>80.400000000000006</v>
      </c>
      <c r="AU22" s="46">
        <v>1.03</v>
      </c>
      <c r="AV22" s="46">
        <v>8334</v>
      </c>
      <c r="AW22" s="46">
        <v>0.505</v>
      </c>
      <c r="AX22" s="46">
        <v>31</v>
      </c>
      <c r="AY22" s="46" t="s">
        <v>243</v>
      </c>
      <c r="AZ22" s="46">
        <v>0.58099999999999996</v>
      </c>
      <c r="BA22" s="46">
        <v>0.23499999999999999</v>
      </c>
      <c r="BB22" s="46">
        <v>132</v>
      </c>
      <c r="BC22" s="46" t="s">
        <v>244</v>
      </c>
      <c r="BD22" s="46">
        <v>0.55300000000000005</v>
      </c>
      <c r="BE22" s="46">
        <v>1304</v>
      </c>
      <c r="BF22" s="46" t="s">
        <v>245</v>
      </c>
      <c r="BG22" s="46">
        <v>0.51300000000000001</v>
      </c>
      <c r="BH22" s="46">
        <v>7.7082999999999999E-2</v>
      </c>
      <c r="BI22" s="46">
        <v>43</v>
      </c>
      <c r="BJ22" s="46">
        <v>40.799999999999997</v>
      </c>
    </row>
    <row r="23" spans="1:62" x14ac:dyDescent="0.25">
      <c r="A23" s="46" t="s">
        <v>68</v>
      </c>
      <c r="B23" s="46">
        <v>59</v>
      </c>
      <c r="C23" s="46">
        <v>33</v>
      </c>
      <c r="D23" s="46">
        <v>26</v>
      </c>
      <c r="E23" s="52">
        <v>0.55900000000000005</v>
      </c>
      <c r="F23" s="46">
        <v>0.60599999999999998</v>
      </c>
      <c r="G23" s="46">
        <v>0.61599999999999999</v>
      </c>
      <c r="H23" s="46">
        <v>195</v>
      </c>
      <c r="I23" s="46">
        <v>3.7999999999999999E-2</v>
      </c>
      <c r="J23" s="46">
        <v>204</v>
      </c>
      <c r="K23" s="46">
        <v>0.04</v>
      </c>
      <c r="L23" s="46">
        <v>0.11600000000000001</v>
      </c>
      <c r="M23" s="46">
        <v>0.65600000000000003</v>
      </c>
      <c r="N23" s="46">
        <v>0.66400000000000003</v>
      </c>
      <c r="O23" s="46">
        <v>0.497</v>
      </c>
      <c r="P23" s="46">
        <v>0.56200000000000006</v>
      </c>
      <c r="Q23" s="46">
        <v>0.753</v>
      </c>
      <c r="R23" s="46">
        <v>6.7</v>
      </c>
      <c r="S23" s="46">
        <v>2.6</v>
      </c>
      <c r="T23" s="46">
        <v>0.41299999999999998</v>
      </c>
      <c r="U23" s="46">
        <v>212</v>
      </c>
      <c r="V23" s="46">
        <v>513</v>
      </c>
      <c r="W23" s="46">
        <v>0.67</v>
      </c>
      <c r="X23" s="46">
        <v>3.2</v>
      </c>
      <c r="Y23" s="46">
        <v>8.6999999999999993</v>
      </c>
      <c r="Z23" s="46">
        <v>1.33</v>
      </c>
      <c r="AA23" s="46">
        <v>3.6</v>
      </c>
      <c r="AB23" s="46">
        <v>0.61599999999999999</v>
      </c>
      <c r="AC23" s="46">
        <v>302</v>
      </c>
      <c r="AD23" s="46">
        <v>490</v>
      </c>
      <c r="AE23" s="46">
        <v>0.64</v>
      </c>
      <c r="AF23" s="46">
        <v>3.1</v>
      </c>
      <c r="AG23" s="46">
        <v>8.3000000000000007</v>
      </c>
      <c r="AH23" s="46">
        <v>1.18</v>
      </c>
      <c r="AI23" s="46">
        <v>3.2</v>
      </c>
      <c r="AJ23" s="46">
        <v>0.39300000000000002</v>
      </c>
      <c r="AK23" s="46">
        <v>0.39400000000000002</v>
      </c>
      <c r="AL23" s="46">
        <v>4.5999999999999999E-2</v>
      </c>
      <c r="AM23" s="46">
        <v>2.9000000000000001E-2</v>
      </c>
      <c r="AN23" s="46">
        <v>0.32700000000000001</v>
      </c>
      <c r="AO23" s="46">
        <v>0.51200000000000001</v>
      </c>
      <c r="AP23" s="46">
        <v>0.27800000000000002</v>
      </c>
      <c r="AQ23" s="46">
        <v>6.5</v>
      </c>
      <c r="AR23" s="46">
        <v>2.5</v>
      </c>
      <c r="AS23" s="46">
        <v>58</v>
      </c>
      <c r="AT23" s="46">
        <v>83.5</v>
      </c>
      <c r="AU23" s="46">
        <v>1</v>
      </c>
      <c r="AV23" s="46">
        <v>10027</v>
      </c>
      <c r="AW23" s="46">
        <v>0.502</v>
      </c>
      <c r="AX23" s="46">
        <v>30</v>
      </c>
      <c r="AY23" s="46">
        <v>45615</v>
      </c>
      <c r="AZ23" s="46">
        <v>0.36699999999999999</v>
      </c>
      <c r="BA23" s="46">
        <v>0.188</v>
      </c>
      <c r="BB23" s="46">
        <v>160</v>
      </c>
      <c r="BC23" s="46" t="s">
        <v>246</v>
      </c>
      <c r="BD23" s="46">
        <v>0.52500000000000002</v>
      </c>
      <c r="BE23" s="46">
        <v>1522</v>
      </c>
      <c r="BF23" s="46" t="s">
        <v>247</v>
      </c>
      <c r="BG23" s="46">
        <v>0.51500000000000001</v>
      </c>
      <c r="BH23" s="46">
        <v>8.4722000000000006E-2</v>
      </c>
      <c r="BI23" s="46">
        <v>45</v>
      </c>
      <c r="BJ23" s="46">
        <v>43.1</v>
      </c>
    </row>
    <row r="24" spans="1:62" x14ac:dyDescent="0.25">
      <c r="A24" s="46" t="s">
        <v>69</v>
      </c>
      <c r="B24" s="46">
        <v>59</v>
      </c>
      <c r="C24" s="46">
        <v>36</v>
      </c>
      <c r="D24" s="46">
        <v>23</v>
      </c>
      <c r="E24" s="52">
        <v>0.61</v>
      </c>
      <c r="F24" s="46">
        <v>0.68300000000000005</v>
      </c>
      <c r="G24" s="46">
        <v>0.66200000000000003</v>
      </c>
      <c r="H24" s="46">
        <v>549</v>
      </c>
      <c r="I24" s="46">
        <v>0.111</v>
      </c>
      <c r="J24" s="46">
        <v>123</v>
      </c>
      <c r="K24" s="46">
        <v>2.5000000000000001E-2</v>
      </c>
      <c r="L24" s="46">
        <v>7.0999999999999994E-2</v>
      </c>
      <c r="M24" s="46">
        <v>0.65</v>
      </c>
      <c r="N24" s="46">
        <v>0.76700000000000002</v>
      </c>
      <c r="O24" s="46">
        <v>0.52600000000000002</v>
      </c>
      <c r="P24" s="46">
        <v>0.56599999999999995</v>
      </c>
      <c r="Q24" s="46">
        <v>0.86799999999999999</v>
      </c>
      <c r="R24" s="46">
        <v>6.2</v>
      </c>
      <c r="S24" s="46">
        <v>2</v>
      </c>
      <c r="T24" s="46">
        <v>0.36799999999999999</v>
      </c>
      <c r="U24" s="46">
        <v>139</v>
      </c>
      <c r="V24" s="46">
        <v>378</v>
      </c>
      <c r="W24" s="46">
        <v>0.47</v>
      </c>
      <c r="X24" s="46">
        <v>2.4</v>
      </c>
      <c r="Y24" s="46">
        <v>6.4</v>
      </c>
      <c r="Z24" s="46">
        <v>0.89</v>
      </c>
      <c r="AA24" s="46">
        <v>2.4</v>
      </c>
      <c r="AB24" s="46">
        <v>0.67700000000000005</v>
      </c>
      <c r="AC24" s="46">
        <v>220</v>
      </c>
      <c r="AD24" s="46">
        <v>325</v>
      </c>
      <c r="AE24" s="46">
        <v>0.41</v>
      </c>
      <c r="AF24" s="46">
        <v>2.1</v>
      </c>
      <c r="AG24" s="46">
        <v>5.5</v>
      </c>
      <c r="AH24" s="46">
        <v>0.67</v>
      </c>
      <c r="AI24" s="46">
        <v>1.8</v>
      </c>
      <c r="AJ24" s="46">
        <v>0.35</v>
      </c>
      <c r="AK24" s="46">
        <v>0.35499999999999998</v>
      </c>
      <c r="AL24" s="46">
        <v>7.2999999999999995E-2</v>
      </c>
      <c r="AM24" s="46">
        <v>3.3000000000000002E-2</v>
      </c>
      <c r="AN24" s="46">
        <v>0.27600000000000002</v>
      </c>
      <c r="AO24" s="46">
        <v>0.48699999999999999</v>
      </c>
      <c r="AP24" s="46">
        <v>0.17399999999999999</v>
      </c>
      <c r="AQ24" s="46">
        <v>6.5</v>
      </c>
      <c r="AR24" s="46">
        <v>2.2999999999999998</v>
      </c>
      <c r="AS24" s="46">
        <v>56</v>
      </c>
      <c r="AT24" s="46">
        <v>88.3</v>
      </c>
      <c r="AU24" s="46">
        <v>1.1000000000000001</v>
      </c>
      <c r="AV24" s="46">
        <v>10145</v>
      </c>
      <c r="AW24" s="46">
        <v>0.51200000000000001</v>
      </c>
      <c r="AX24" s="46">
        <v>37</v>
      </c>
      <c r="AY24" s="46" t="s">
        <v>248</v>
      </c>
      <c r="AZ24" s="46">
        <v>0.54100000000000004</v>
      </c>
      <c r="BA24" s="46">
        <v>0.23599999999999999</v>
      </c>
      <c r="BB24" s="46">
        <v>157</v>
      </c>
      <c r="BC24" s="46" t="s">
        <v>249</v>
      </c>
      <c r="BD24" s="46">
        <v>0.56699999999999995</v>
      </c>
      <c r="BE24" s="46">
        <v>1597</v>
      </c>
      <c r="BF24" s="46" t="s">
        <v>250</v>
      </c>
      <c r="BG24" s="46">
        <v>0.52</v>
      </c>
      <c r="BH24" s="46">
        <v>9.1666999999999998E-2</v>
      </c>
      <c r="BI24" s="46">
        <v>49.7</v>
      </c>
      <c r="BJ24" s="46">
        <v>46.1</v>
      </c>
    </row>
    <row r="25" spans="1:62" x14ac:dyDescent="0.25">
      <c r="A25" s="46" t="s">
        <v>70</v>
      </c>
      <c r="B25" s="46">
        <v>40</v>
      </c>
      <c r="C25" s="46">
        <v>21</v>
      </c>
      <c r="D25" s="46">
        <v>19</v>
      </c>
      <c r="E25" s="52">
        <v>0.52500000000000002</v>
      </c>
      <c r="F25" s="46">
        <v>0.65400000000000003</v>
      </c>
      <c r="G25" s="46">
        <v>0.63200000000000001</v>
      </c>
      <c r="H25" s="46">
        <v>415</v>
      </c>
      <c r="I25" s="46">
        <v>0.124</v>
      </c>
      <c r="J25" s="46">
        <v>127</v>
      </c>
      <c r="K25" s="46">
        <v>3.7999999999999999E-2</v>
      </c>
      <c r="L25" s="46">
        <v>9.2999999999999999E-2</v>
      </c>
      <c r="M25" s="46">
        <v>0.59299999999999997</v>
      </c>
      <c r="N25" s="46">
        <v>0.75900000000000001</v>
      </c>
      <c r="O25" s="46">
        <v>0.501</v>
      </c>
      <c r="P25" s="46">
        <v>0.55200000000000005</v>
      </c>
      <c r="Q25" s="46">
        <v>0.83</v>
      </c>
      <c r="R25" s="46">
        <v>6.5</v>
      </c>
      <c r="S25" s="46">
        <v>2.2999999999999998</v>
      </c>
      <c r="T25" s="46">
        <v>0.33300000000000002</v>
      </c>
      <c r="U25" s="46">
        <v>97</v>
      </c>
      <c r="V25" s="46">
        <v>291</v>
      </c>
      <c r="W25" s="46">
        <v>0.56000000000000005</v>
      </c>
      <c r="X25" s="46">
        <v>2.9</v>
      </c>
      <c r="Y25" s="46">
        <v>7.3</v>
      </c>
      <c r="Z25" s="46">
        <v>0.95</v>
      </c>
      <c r="AA25" s="46">
        <v>2.4</v>
      </c>
      <c r="AB25" s="46">
        <v>0.64600000000000002</v>
      </c>
      <c r="AC25" s="46">
        <v>159</v>
      </c>
      <c r="AD25" s="46">
        <v>246</v>
      </c>
      <c r="AE25" s="46">
        <v>0.48</v>
      </c>
      <c r="AF25" s="46">
        <v>2.4</v>
      </c>
      <c r="AG25" s="46">
        <v>6.2</v>
      </c>
      <c r="AH25" s="46">
        <v>0.85</v>
      </c>
      <c r="AI25" s="46">
        <v>2.2000000000000002</v>
      </c>
      <c r="AJ25" s="46">
        <v>0.35899999999999999</v>
      </c>
      <c r="AK25" s="46">
        <v>0.377</v>
      </c>
      <c r="AL25" s="46">
        <v>0.109</v>
      </c>
      <c r="AM25" s="46">
        <v>3.7999999999999999E-2</v>
      </c>
      <c r="AN25" s="46">
        <v>0.27700000000000002</v>
      </c>
      <c r="AO25" s="46">
        <v>0.49399999999999999</v>
      </c>
      <c r="AP25" s="46">
        <v>0.187</v>
      </c>
      <c r="AQ25" s="46">
        <v>6.7</v>
      </c>
      <c r="AR25" s="46">
        <v>2.4</v>
      </c>
      <c r="AS25" s="46">
        <v>42.5</v>
      </c>
      <c r="AT25" s="46">
        <v>66.7</v>
      </c>
      <c r="AU25" s="46">
        <v>1.04</v>
      </c>
      <c r="AV25" s="46">
        <v>6847</v>
      </c>
      <c r="AW25" s="46">
        <v>0.504</v>
      </c>
      <c r="AX25" s="46">
        <v>33</v>
      </c>
      <c r="AY25" s="46" t="s">
        <v>251</v>
      </c>
      <c r="AZ25" s="46">
        <v>0.54500000000000004</v>
      </c>
      <c r="BA25" s="46">
        <v>0.32400000000000001</v>
      </c>
      <c r="BB25" s="46">
        <v>102</v>
      </c>
      <c r="BC25" s="46" t="s">
        <v>252</v>
      </c>
      <c r="BD25" s="46">
        <v>0.52</v>
      </c>
      <c r="BE25" s="46">
        <v>1031</v>
      </c>
      <c r="BF25" s="46" t="s">
        <v>253</v>
      </c>
      <c r="BG25" s="46">
        <v>0.50700000000000001</v>
      </c>
      <c r="BH25" s="46">
        <v>7.9167000000000001E-2</v>
      </c>
      <c r="BI25" s="46">
        <v>44.5</v>
      </c>
      <c r="BJ25" s="46">
        <v>39.799999999999997</v>
      </c>
    </row>
    <row r="26" spans="1:62" x14ac:dyDescent="0.25">
      <c r="A26" s="46" t="s">
        <v>72</v>
      </c>
      <c r="B26" s="46">
        <v>57</v>
      </c>
      <c r="C26" s="46">
        <v>33</v>
      </c>
      <c r="D26" s="46">
        <v>24</v>
      </c>
      <c r="E26" s="52">
        <v>0.57899999999999996</v>
      </c>
      <c r="F26" s="46">
        <v>0.67</v>
      </c>
      <c r="G26" s="46">
        <v>0.65800000000000003</v>
      </c>
      <c r="H26" s="46">
        <v>524</v>
      </c>
      <c r="I26" s="46">
        <v>0.109</v>
      </c>
      <c r="J26" s="46">
        <v>184</v>
      </c>
      <c r="K26" s="46">
        <v>3.7999999999999999E-2</v>
      </c>
      <c r="L26" s="46">
        <v>0.105</v>
      </c>
      <c r="M26" s="46">
        <v>0.63800000000000001</v>
      </c>
      <c r="N26" s="46">
        <v>0.753</v>
      </c>
      <c r="O26" s="46">
        <v>0.52400000000000002</v>
      </c>
      <c r="P26" s="46">
        <v>0.58599999999999997</v>
      </c>
      <c r="Q26" s="46">
        <v>0.85199999999999998</v>
      </c>
      <c r="R26" s="46">
        <v>6.3</v>
      </c>
      <c r="S26" s="46">
        <v>2.1</v>
      </c>
      <c r="T26" s="46">
        <v>0.371</v>
      </c>
      <c r="U26" s="46">
        <v>111</v>
      </c>
      <c r="V26" s="46">
        <v>299</v>
      </c>
      <c r="W26" s="46">
        <v>0.39</v>
      </c>
      <c r="X26" s="46">
        <v>2</v>
      </c>
      <c r="Y26" s="46">
        <v>5.2</v>
      </c>
      <c r="Z26" s="46">
        <v>0.74</v>
      </c>
      <c r="AA26" s="46">
        <v>1.9</v>
      </c>
      <c r="AB26" s="46">
        <v>0.64900000000000002</v>
      </c>
      <c r="AC26" s="46">
        <v>209</v>
      </c>
      <c r="AD26" s="46">
        <v>322</v>
      </c>
      <c r="AE26" s="46">
        <v>0.42</v>
      </c>
      <c r="AF26" s="46">
        <v>2.1</v>
      </c>
      <c r="AG26" s="46">
        <v>5.6</v>
      </c>
      <c r="AH26" s="46">
        <v>0.75</v>
      </c>
      <c r="AI26" s="46">
        <v>2</v>
      </c>
      <c r="AJ26" s="46">
        <v>0.32800000000000001</v>
      </c>
      <c r="AK26" s="46">
        <v>0.34300000000000003</v>
      </c>
      <c r="AL26" s="46">
        <v>0.109</v>
      </c>
      <c r="AM26" s="46">
        <v>3.5000000000000003E-2</v>
      </c>
      <c r="AN26" s="46">
        <v>0.249</v>
      </c>
      <c r="AO26" s="46">
        <v>0.46200000000000002</v>
      </c>
      <c r="AP26" s="46">
        <v>0.14599999999999999</v>
      </c>
      <c r="AQ26" s="46">
        <v>6.3</v>
      </c>
      <c r="AR26" s="46">
        <v>2.1</v>
      </c>
      <c r="AS26" s="46">
        <v>46</v>
      </c>
      <c r="AT26" s="46">
        <v>63.3</v>
      </c>
      <c r="AU26" s="46">
        <v>0.99</v>
      </c>
      <c r="AV26" s="46">
        <v>9607</v>
      </c>
      <c r="AW26" s="46">
        <v>0.5</v>
      </c>
      <c r="AX26" s="46">
        <v>42</v>
      </c>
      <c r="AY26" s="46" t="s">
        <v>254</v>
      </c>
      <c r="AZ26" s="46">
        <v>0.57099999999999995</v>
      </c>
      <c r="BA26" s="46">
        <v>0.27800000000000002</v>
      </c>
      <c r="BB26" s="46">
        <v>151</v>
      </c>
      <c r="BC26" s="46" t="s">
        <v>255</v>
      </c>
      <c r="BD26" s="46">
        <v>0.53</v>
      </c>
      <c r="BE26" s="46">
        <v>1521</v>
      </c>
      <c r="BF26" s="46" t="s">
        <v>256</v>
      </c>
      <c r="BG26" s="46">
        <v>0.499</v>
      </c>
      <c r="BH26" s="46">
        <v>7.7082999999999999E-2</v>
      </c>
      <c r="BI26" s="46">
        <v>41.7</v>
      </c>
      <c r="BJ26" s="46">
        <v>39.4</v>
      </c>
    </row>
    <row r="27" spans="1:62" x14ac:dyDescent="0.25">
      <c r="A27" s="46" t="s">
        <v>73</v>
      </c>
      <c r="B27" s="46">
        <v>52</v>
      </c>
      <c r="C27" s="46">
        <v>29</v>
      </c>
      <c r="D27" s="46">
        <v>23</v>
      </c>
      <c r="E27" s="52">
        <v>0.55800000000000005</v>
      </c>
      <c r="F27" s="46">
        <v>0.65300000000000002</v>
      </c>
      <c r="G27" s="46">
        <v>0.628</v>
      </c>
      <c r="H27" s="46">
        <v>479</v>
      </c>
      <c r="I27" s="46">
        <v>0.11700000000000001</v>
      </c>
      <c r="J27" s="46">
        <v>116</v>
      </c>
      <c r="K27" s="46">
        <v>2.8000000000000001E-2</v>
      </c>
      <c r="L27" s="46">
        <v>7.3999999999999996E-2</v>
      </c>
      <c r="M27" s="46">
        <v>0.61699999999999999</v>
      </c>
      <c r="N27" s="46">
        <v>0.74399999999999999</v>
      </c>
      <c r="O27" s="46">
        <v>0.50700000000000001</v>
      </c>
      <c r="P27" s="46">
        <v>0.54700000000000004</v>
      </c>
      <c r="Q27" s="46">
        <v>0.81599999999999995</v>
      </c>
      <c r="R27" s="46">
        <v>6.3</v>
      </c>
      <c r="S27" s="46">
        <v>2.2000000000000002</v>
      </c>
      <c r="T27" s="46">
        <v>0.39800000000000002</v>
      </c>
      <c r="U27" s="46">
        <v>141</v>
      </c>
      <c r="V27" s="46">
        <v>354</v>
      </c>
      <c r="W27" s="46">
        <v>0.55000000000000004</v>
      </c>
      <c r="X27" s="46">
        <v>2.7</v>
      </c>
      <c r="Y27" s="46">
        <v>6.8</v>
      </c>
      <c r="Z27" s="46">
        <v>1.07</v>
      </c>
      <c r="AA27" s="46">
        <v>2.7</v>
      </c>
      <c r="AB27" s="46">
        <v>0.58299999999999996</v>
      </c>
      <c r="AC27" s="46">
        <v>168</v>
      </c>
      <c r="AD27" s="46">
        <v>288</v>
      </c>
      <c r="AE27" s="46">
        <v>0.44</v>
      </c>
      <c r="AF27" s="46">
        <v>2.2000000000000002</v>
      </c>
      <c r="AG27" s="46">
        <v>5.5</v>
      </c>
      <c r="AH27" s="46">
        <v>0.91</v>
      </c>
      <c r="AI27" s="46">
        <v>2.2999999999999998</v>
      </c>
      <c r="AJ27" s="46">
        <v>0.36899999999999999</v>
      </c>
      <c r="AK27" s="46">
        <v>0.371</v>
      </c>
      <c r="AL27" s="46">
        <v>0.08</v>
      </c>
      <c r="AM27" s="46">
        <v>4.2999999999999997E-2</v>
      </c>
      <c r="AN27" s="46">
        <v>0.27100000000000002</v>
      </c>
      <c r="AO27" s="46">
        <v>0.52300000000000002</v>
      </c>
      <c r="AP27" s="46">
        <v>0.218</v>
      </c>
      <c r="AQ27" s="46">
        <v>6.5</v>
      </c>
      <c r="AR27" s="46">
        <v>2.4</v>
      </c>
      <c r="AS27" s="46">
        <v>42</v>
      </c>
      <c r="AT27" s="46">
        <v>66.5</v>
      </c>
      <c r="AU27" s="46">
        <v>1.06</v>
      </c>
      <c r="AV27" s="46">
        <v>8326</v>
      </c>
      <c r="AW27" s="46">
        <v>0.50900000000000001</v>
      </c>
      <c r="AX27" s="46">
        <v>32</v>
      </c>
      <c r="AY27" s="46" t="s">
        <v>257</v>
      </c>
      <c r="AZ27" s="46">
        <v>0.46899999999999997</v>
      </c>
      <c r="BA27" s="46">
        <v>0.24199999999999999</v>
      </c>
      <c r="BB27" s="46">
        <v>132</v>
      </c>
      <c r="BC27" s="46" t="s">
        <v>258</v>
      </c>
      <c r="BD27" s="46">
        <v>0.53800000000000003</v>
      </c>
      <c r="BE27" s="46">
        <v>1297</v>
      </c>
      <c r="BF27" s="46" t="s">
        <v>259</v>
      </c>
      <c r="BG27" s="46">
        <v>0.51800000000000002</v>
      </c>
      <c r="BH27" s="46">
        <v>7.7082999999999999E-2</v>
      </c>
      <c r="BI27" s="46">
        <v>43.7</v>
      </c>
      <c r="BJ27" s="46">
        <v>41.6</v>
      </c>
    </row>
    <row r="28" spans="1:62" x14ac:dyDescent="0.25">
      <c r="A28" s="46" t="s">
        <v>74</v>
      </c>
      <c r="B28" s="46">
        <v>53</v>
      </c>
      <c r="C28" s="46">
        <v>27</v>
      </c>
      <c r="D28" s="46">
        <v>26</v>
      </c>
      <c r="E28" s="52">
        <v>0.50900000000000001</v>
      </c>
      <c r="F28" s="46">
        <v>0.64300000000000002</v>
      </c>
      <c r="G28" s="46">
        <v>0.628</v>
      </c>
      <c r="H28" s="46">
        <v>289</v>
      </c>
      <c r="I28" s="46">
        <v>6.8000000000000005E-2</v>
      </c>
      <c r="J28" s="46">
        <v>72</v>
      </c>
      <c r="K28" s="46">
        <v>1.7000000000000001E-2</v>
      </c>
      <c r="L28" s="46">
        <v>5.0999999999999997E-2</v>
      </c>
      <c r="M28" s="46">
        <v>0.66800000000000004</v>
      </c>
      <c r="N28" s="46">
        <v>0.70499999999999996</v>
      </c>
      <c r="O28" s="46">
        <v>0.51700000000000002</v>
      </c>
      <c r="P28" s="46">
        <v>0.54500000000000004</v>
      </c>
      <c r="Q28" s="46">
        <v>0.81299999999999994</v>
      </c>
      <c r="R28" s="46">
        <v>6.4</v>
      </c>
      <c r="S28" s="46">
        <v>2.2999999999999998</v>
      </c>
      <c r="T28" s="46">
        <v>0.36</v>
      </c>
      <c r="U28" s="46">
        <v>134</v>
      </c>
      <c r="V28" s="46">
        <v>372</v>
      </c>
      <c r="W28" s="46">
        <v>0.56000000000000005</v>
      </c>
      <c r="X28" s="46">
        <v>2.7</v>
      </c>
      <c r="Y28" s="46">
        <v>7</v>
      </c>
      <c r="Z28" s="46">
        <v>0.97</v>
      </c>
      <c r="AA28" s="46">
        <v>2.5</v>
      </c>
      <c r="AB28" s="46">
        <v>0.627</v>
      </c>
      <c r="AC28" s="46">
        <v>208</v>
      </c>
      <c r="AD28" s="46">
        <v>332</v>
      </c>
      <c r="AE28" s="46">
        <v>0.5</v>
      </c>
      <c r="AF28" s="46">
        <v>2.4</v>
      </c>
      <c r="AG28" s="46">
        <v>6.3</v>
      </c>
      <c r="AH28" s="46">
        <v>0.9</v>
      </c>
      <c r="AI28" s="46">
        <v>2.2999999999999998</v>
      </c>
      <c r="AJ28" s="46">
        <v>0.36699999999999999</v>
      </c>
      <c r="AK28" s="46">
        <v>0.36899999999999999</v>
      </c>
      <c r="AL28" s="46">
        <v>5.8999999999999997E-2</v>
      </c>
      <c r="AM28" s="46">
        <v>3.1E-2</v>
      </c>
      <c r="AN28" s="46">
        <v>0.28799999999999998</v>
      </c>
      <c r="AO28" s="46">
        <v>0.496</v>
      </c>
      <c r="AP28" s="46">
        <v>0.20200000000000001</v>
      </c>
      <c r="AQ28" s="46">
        <v>6.5</v>
      </c>
      <c r="AR28" s="46">
        <v>2.4</v>
      </c>
      <c r="AS28" s="46">
        <v>55</v>
      </c>
      <c r="AT28" s="46">
        <v>81.099999999999994</v>
      </c>
      <c r="AU28" s="46">
        <v>1.03</v>
      </c>
      <c r="AV28" s="46">
        <v>8616</v>
      </c>
      <c r="AW28" s="46">
        <v>0.504</v>
      </c>
      <c r="AX28" s="46">
        <v>30</v>
      </c>
      <c r="AY28" s="46" t="s">
        <v>260</v>
      </c>
      <c r="AZ28" s="46">
        <v>0.433</v>
      </c>
      <c r="BA28" s="46">
        <v>0.217</v>
      </c>
      <c r="BB28" s="46">
        <v>138</v>
      </c>
      <c r="BC28" s="46" t="s">
        <v>261</v>
      </c>
      <c r="BD28" s="46">
        <v>0.52200000000000002</v>
      </c>
      <c r="BE28" s="46">
        <v>1329</v>
      </c>
      <c r="BF28" s="46" t="s">
        <v>262</v>
      </c>
      <c r="BG28" s="46">
        <v>0.50700000000000001</v>
      </c>
      <c r="BH28" s="46">
        <v>9.3056E-2</v>
      </c>
      <c r="BI28" s="46">
        <v>51.4</v>
      </c>
      <c r="BJ28" s="46">
        <v>49.4</v>
      </c>
    </row>
    <row r="29" spans="1:62" x14ac:dyDescent="0.25">
      <c r="A29" s="46" t="s">
        <v>75</v>
      </c>
      <c r="B29" s="46">
        <v>48</v>
      </c>
      <c r="C29" s="46">
        <v>24</v>
      </c>
      <c r="D29" s="46">
        <v>24</v>
      </c>
      <c r="E29" s="52">
        <v>0.5</v>
      </c>
      <c r="F29" s="46">
        <v>0.627</v>
      </c>
      <c r="G29" s="46">
        <v>0.622</v>
      </c>
      <c r="H29" s="46">
        <v>184</v>
      </c>
      <c r="I29" s="46">
        <v>4.9000000000000002E-2</v>
      </c>
      <c r="J29" s="46">
        <v>80</v>
      </c>
      <c r="K29" s="46">
        <v>2.1000000000000001E-2</v>
      </c>
      <c r="L29" s="46">
        <v>6.4000000000000001E-2</v>
      </c>
      <c r="M29" s="46">
        <v>0.66400000000000003</v>
      </c>
      <c r="N29" s="46">
        <v>0.68200000000000005</v>
      </c>
      <c r="O29" s="46">
        <v>0.51800000000000002</v>
      </c>
      <c r="P29" s="46">
        <v>0.55300000000000005</v>
      </c>
      <c r="Q29" s="46">
        <v>0.77800000000000002</v>
      </c>
      <c r="R29" s="46">
        <v>6.5</v>
      </c>
      <c r="S29" s="46">
        <v>2.4</v>
      </c>
      <c r="T29" s="46">
        <v>0.44900000000000001</v>
      </c>
      <c r="U29" s="46">
        <v>142</v>
      </c>
      <c r="V29" s="46">
        <v>316</v>
      </c>
      <c r="W29" s="46">
        <v>0.55000000000000004</v>
      </c>
      <c r="X29" s="46">
        <v>2.6</v>
      </c>
      <c r="Y29" s="46">
        <v>6.6</v>
      </c>
      <c r="Z29" s="46">
        <v>1.1599999999999999</v>
      </c>
      <c r="AA29" s="46">
        <v>3</v>
      </c>
      <c r="AB29" s="46">
        <v>0.60199999999999998</v>
      </c>
      <c r="AC29" s="46">
        <v>192</v>
      </c>
      <c r="AD29" s="46">
        <v>319</v>
      </c>
      <c r="AE29" s="46">
        <v>0.56000000000000005</v>
      </c>
      <c r="AF29" s="46">
        <v>2.6</v>
      </c>
      <c r="AG29" s="46">
        <v>6.6</v>
      </c>
      <c r="AH29" s="46">
        <v>1.04</v>
      </c>
      <c r="AI29" s="46">
        <v>2.6</v>
      </c>
      <c r="AJ29" s="46">
        <v>0.38900000000000001</v>
      </c>
      <c r="AK29" s="46">
        <v>0.39800000000000002</v>
      </c>
      <c r="AL29" s="46">
        <v>7.9000000000000001E-2</v>
      </c>
      <c r="AM29" s="46">
        <v>3.7999999999999999E-2</v>
      </c>
      <c r="AN29" s="46">
        <v>0.30599999999999999</v>
      </c>
      <c r="AO29" s="46">
        <v>0.52100000000000002</v>
      </c>
      <c r="AP29" s="46">
        <v>0.246</v>
      </c>
      <c r="AQ29" s="46">
        <v>6.5</v>
      </c>
      <c r="AR29" s="46">
        <v>2.5</v>
      </c>
      <c r="AS29" s="46">
        <v>44</v>
      </c>
      <c r="AT29" s="46">
        <v>75.7</v>
      </c>
      <c r="AU29" s="46">
        <v>1.04</v>
      </c>
      <c r="AV29" s="46">
        <v>7479</v>
      </c>
      <c r="AW29" s="46">
        <v>0.50800000000000001</v>
      </c>
      <c r="AX29" s="46">
        <v>21</v>
      </c>
      <c r="AY29" s="46">
        <v>45547</v>
      </c>
      <c r="AZ29" s="46">
        <v>0.42899999999999999</v>
      </c>
      <c r="BA29" s="46">
        <v>0.17199999999999999</v>
      </c>
      <c r="BB29" s="46">
        <v>122</v>
      </c>
      <c r="BC29" s="46" t="s">
        <v>263</v>
      </c>
      <c r="BD29" s="46">
        <v>0.51600000000000001</v>
      </c>
      <c r="BE29" s="46">
        <v>1149</v>
      </c>
      <c r="BF29" s="46" t="s">
        <v>264</v>
      </c>
      <c r="BG29" s="46">
        <v>0.51</v>
      </c>
      <c r="BH29" s="46">
        <v>7.4305999999999997E-2</v>
      </c>
      <c r="BI29" s="46">
        <v>42.2</v>
      </c>
      <c r="BJ29" s="46">
        <v>41.3</v>
      </c>
    </row>
    <row r="30" spans="1:62" x14ac:dyDescent="0.25">
      <c r="A30" s="46" t="s">
        <v>76</v>
      </c>
      <c r="B30" s="46">
        <v>60</v>
      </c>
      <c r="C30" s="46">
        <v>30</v>
      </c>
      <c r="D30" s="46">
        <v>30</v>
      </c>
      <c r="E30" s="52">
        <v>0.5</v>
      </c>
      <c r="F30" s="46">
        <v>0.63100000000000001</v>
      </c>
      <c r="G30" s="46">
        <v>0.63200000000000001</v>
      </c>
      <c r="H30" s="46">
        <v>230</v>
      </c>
      <c r="I30" s="46">
        <v>0.05</v>
      </c>
      <c r="J30" s="46">
        <v>142</v>
      </c>
      <c r="K30" s="46">
        <v>3.1E-2</v>
      </c>
      <c r="L30" s="46">
        <v>8.1000000000000003E-2</v>
      </c>
      <c r="M30" s="46">
        <v>0.61799999999999999</v>
      </c>
      <c r="N30" s="46">
        <v>0.71099999999999997</v>
      </c>
      <c r="O30" s="46">
        <v>0.502</v>
      </c>
      <c r="P30" s="46">
        <v>0.54700000000000004</v>
      </c>
      <c r="Q30" s="46">
        <v>0.78700000000000003</v>
      </c>
      <c r="R30" s="46">
        <v>6.4</v>
      </c>
      <c r="S30" s="46">
        <v>2.4</v>
      </c>
      <c r="T30" s="46">
        <v>0.38800000000000001</v>
      </c>
      <c r="U30" s="46">
        <v>159</v>
      </c>
      <c r="V30" s="46">
        <v>410</v>
      </c>
      <c r="W30" s="46">
        <v>0.56999999999999995</v>
      </c>
      <c r="X30" s="46">
        <v>2.8</v>
      </c>
      <c r="Y30" s="46">
        <v>6.8</v>
      </c>
      <c r="Z30" s="46">
        <v>1.07</v>
      </c>
      <c r="AA30" s="46">
        <v>2.7</v>
      </c>
      <c r="AB30" s="46">
        <v>0.58699999999999997</v>
      </c>
      <c r="AC30" s="46">
        <v>216</v>
      </c>
      <c r="AD30" s="46">
        <v>368</v>
      </c>
      <c r="AE30" s="46">
        <v>0.52</v>
      </c>
      <c r="AF30" s="46">
        <v>2.5</v>
      </c>
      <c r="AG30" s="46">
        <v>6.1</v>
      </c>
      <c r="AH30" s="46">
        <v>1.02</v>
      </c>
      <c r="AI30" s="46">
        <v>2.5</v>
      </c>
      <c r="AJ30" s="46">
        <v>0.371</v>
      </c>
      <c r="AK30" s="46">
        <v>0.372</v>
      </c>
      <c r="AL30" s="46">
        <v>6.5000000000000002E-2</v>
      </c>
      <c r="AM30" s="46">
        <v>3.6999999999999998E-2</v>
      </c>
      <c r="AN30" s="46">
        <v>0.29099999999999998</v>
      </c>
      <c r="AO30" s="46">
        <v>0.502</v>
      </c>
      <c r="AP30" s="46">
        <v>0.22</v>
      </c>
      <c r="AQ30" s="46">
        <v>6.4</v>
      </c>
      <c r="AR30" s="46">
        <v>2.4</v>
      </c>
      <c r="AS30" s="46">
        <v>55</v>
      </c>
      <c r="AT30" s="46">
        <v>65</v>
      </c>
      <c r="AU30" s="46">
        <v>1.01</v>
      </c>
      <c r="AV30" s="46">
        <v>9246</v>
      </c>
      <c r="AW30" s="46">
        <v>0.5</v>
      </c>
      <c r="AX30" s="46">
        <v>21</v>
      </c>
      <c r="AY30" s="46">
        <v>45635</v>
      </c>
      <c r="AZ30" s="46">
        <v>0.57099999999999995</v>
      </c>
      <c r="BA30" s="46">
        <v>0.14099999999999999</v>
      </c>
      <c r="BB30" s="46">
        <v>149</v>
      </c>
      <c r="BC30" s="46" t="s">
        <v>265</v>
      </c>
      <c r="BD30" s="46">
        <v>0.503</v>
      </c>
      <c r="BE30" s="46">
        <v>1436</v>
      </c>
      <c r="BF30" s="46" t="s">
        <v>266</v>
      </c>
      <c r="BG30" s="46">
        <v>0.501</v>
      </c>
      <c r="BH30" s="46">
        <v>7.9167000000000001E-2</v>
      </c>
      <c r="BI30" s="46">
        <v>45.7</v>
      </c>
      <c r="BJ30" s="46">
        <v>44.2</v>
      </c>
    </row>
    <row r="31" spans="1:62" x14ac:dyDescent="0.25">
      <c r="A31" s="46" t="s">
        <v>77</v>
      </c>
      <c r="B31" s="46">
        <v>50</v>
      </c>
      <c r="C31" s="46">
        <v>25</v>
      </c>
      <c r="D31" s="46">
        <v>25</v>
      </c>
      <c r="E31" s="52">
        <v>0.5</v>
      </c>
      <c r="F31" s="46">
        <v>0.63500000000000001</v>
      </c>
      <c r="G31" s="46">
        <v>0.63100000000000001</v>
      </c>
      <c r="H31" s="46">
        <v>245</v>
      </c>
      <c r="I31" s="46">
        <v>5.8000000000000003E-2</v>
      </c>
      <c r="J31" s="46">
        <v>121</v>
      </c>
      <c r="K31" s="46">
        <v>2.9000000000000001E-2</v>
      </c>
      <c r="L31" s="46">
        <v>7.9000000000000001E-2</v>
      </c>
      <c r="M31" s="46">
        <v>0.63800000000000001</v>
      </c>
      <c r="N31" s="46">
        <v>0.70399999999999996</v>
      </c>
      <c r="O31" s="46">
        <v>0.51300000000000001</v>
      </c>
      <c r="P31" s="46">
        <v>0.55600000000000005</v>
      </c>
      <c r="Q31" s="46">
        <v>0.80700000000000005</v>
      </c>
      <c r="R31" s="46">
        <v>6.4</v>
      </c>
      <c r="S31" s="46">
        <v>2.2999999999999998</v>
      </c>
      <c r="T31" s="46">
        <v>0.39300000000000002</v>
      </c>
      <c r="U31" s="46">
        <v>148</v>
      </c>
      <c r="V31" s="46">
        <v>377</v>
      </c>
      <c r="W31" s="46">
        <v>0.57999999999999996</v>
      </c>
      <c r="X31" s="46">
        <v>2.8</v>
      </c>
      <c r="Y31" s="46">
        <v>7.5</v>
      </c>
      <c r="Z31" s="46">
        <v>1.1000000000000001</v>
      </c>
      <c r="AA31" s="46">
        <v>3</v>
      </c>
      <c r="AB31" s="46">
        <v>0.65700000000000003</v>
      </c>
      <c r="AC31" s="46">
        <v>245</v>
      </c>
      <c r="AD31" s="46">
        <v>373</v>
      </c>
      <c r="AE31" s="46">
        <v>0.56000000000000005</v>
      </c>
      <c r="AF31" s="46">
        <v>2.8</v>
      </c>
      <c r="AG31" s="46">
        <v>7.5</v>
      </c>
      <c r="AH31" s="46">
        <v>0.95</v>
      </c>
      <c r="AI31" s="46">
        <v>2.6</v>
      </c>
      <c r="AJ31" s="46">
        <v>0.374</v>
      </c>
      <c r="AK31" s="46">
        <v>0.39400000000000002</v>
      </c>
      <c r="AL31" s="46">
        <v>9.8000000000000004E-2</v>
      </c>
      <c r="AM31" s="46">
        <v>3.2000000000000001E-2</v>
      </c>
      <c r="AN31" s="46">
        <v>0.29799999999999999</v>
      </c>
      <c r="AO31" s="46">
        <v>0.5</v>
      </c>
      <c r="AP31" s="46">
        <v>0.22700000000000001</v>
      </c>
      <c r="AQ31" s="46">
        <v>6.5</v>
      </c>
      <c r="AR31" s="46">
        <v>2.4</v>
      </c>
      <c r="AS31" s="46">
        <v>63</v>
      </c>
      <c r="AT31" s="46">
        <v>82.3</v>
      </c>
      <c r="AU31" s="46">
        <v>1.03</v>
      </c>
      <c r="AV31" s="46">
        <v>8444</v>
      </c>
      <c r="AW31" s="46">
        <v>0.505</v>
      </c>
      <c r="AX31" s="46">
        <v>24</v>
      </c>
      <c r="AY31" s="46">
        <v>45461</v>
      </c>
      <c r="AZ31" s="46">
        <v>0.25</v>
      </c>
      <c r="BA31" s="46">
        <v>0.17799999999999999</v>
      </c>
      <c r="BB31" s="46">
        <v>135</v>
      </c>
      <c r="BC31" s="46" t="s">
        <v>267</v>
      </c>
      <c r="BD31" s="46">
        <v>0.496</v>
      </c>
      <c r="BE31" s="46">
        <v>1313</v>
      </c>
      <c r="BF31" s="46" t="s">
        <v>268</v>
      </c>
      <c r="BG31" s="46">
        <v>0.51900000000000002</v>
      </c>
      <c r="BH31" s="46">
        <v>8.2639000000000004E-2</v>
      </c>
      <c r="BI31" s="46">
        <v>43.9</v>
      </c>
      <c r="BJ31" s="46">
        <v>42.1</v>
      </c>
    </row>
    <row r="32" spans="1:62" x14ac:dyDescent="0.25">
      <c r="A32" s="46" t="s">
        <v>78</v>
      </c>
      <c r="B32" s="46">
        <v>53</v>
      </c>
      <c r="C32" s="46">
        <v>29</v>
      </c>
      <c r="D32" s="46">
        <v>24</v>
      </c>
      <c r="E32" s="52">
        <v>0.54700000000000004</v>
      </c>
      <c r="F32" s="46">
        <v>0.65100000000000002</v>
      </c>
      <c r="G32" s="46">
        <v>0.63900000000000001</v>
      </c>
      <c r="H32" s="46">
        <v>366</v>
      </c>
      <c r="I32" s="46">
        <v>8.7999999999999995E-2</v>
      </c>
      <c r="J32" s="46">
        <v>127</v>
      </c>
      <c r="K32" s="46">
        <v>0.03</v>
      </c>
      <c r="L32" s="46">
        <v>8.5999999999999993E-2</v>
      </c>
      <c r="M32" s="46">
        <v>0.64600000000000002</v>
      </c>
      <c r="N32" s="46">
        <v>0.72599999999999998</v>
      </c>
      <c r="O32" s="46">
        <v>0.51500000000000001</v>
      </c>
      <c r="P32" s="46">
        <v>0.56399999999999995</v>
      </c>
      <c r="Q32" s="46">
        <v>0.81599999999999995</v>
      </c>
      <c r="R32" s="46">
        <v>6.3</v>
      </c>
      <c r="S32" s="46">
        <v>2.2000000000000002</v>
      </c>
      <c r="T32" s="46">
        <v>0.372</v>
      </c>
      <c r="U32" s="46">
        <v>125</v>
      </c>
      <c r="V32" s="46">
        <v>336</v>
      </c>
      <c r="W32" s="46">
        <v>0.51</v>
      </c>
      <c r="X32" s="46">
        <v>2.5</v>
      </c>
      <c r="Y32" s="46">
        <v>6.3</v>
      </c>
      <c r="Z32" s="46">
        <v>0.92</v>
      </c>
      <c r="AA32" s="46">
        <v>2.4</v>
      </c>
      <c r="AB32" s="46">
        <v>0.65</v>
      </c>
      <c r="AC32" s="46">
        <v>227</v>
      </c>
      <c r="AD32" s="46">
        <v>349</v>
      </c>
      <c r="AE32" s="46">
        <v>0.53</v>
      </c>
      <c r="AF32" s="46">
        <v>2.6</v>
      </c>
      <c r="AG32" s="46">
        <v>6.6</v>
      </c>
      <c r="AH32" s="46">
        <v>0.9</v>
      </c>
      <c r="AI32" s="46">
        <v>2.2999999999999998</v>
      </c>
      <c r="AJ32" s="46">
        <v>0.35399999999999998</v>
      </c>
      <c r="AK32" s="46">
        <v>0.35899999999999999</v>
      </c>
      <c r="AL32" s="46">
        <v>6.8000000000000005E-2</v>
      </c>
      <c r="AM32" s="46">
        <v>0.03</v>
      </c>
      <c r="AN32" s="46">
        <v>0.28299999999999997</v>
      </c>
      <c r="AO32" s="46">
        <v>0.47099999999999997</v>
      </c>
      <c r="AP32" s="46">
        <v>0.189</v>
      </c>
      <c r="AQ32" s="46">
        <v>6.3</v>
      </c>
      <c r="AR32" s="46">
        <v>2.2000000000000002</v>
      </c>
      <c r="AS32" s="46">
        <v>54.5</v>
      </c>
      <c r="AT32" s="46">
        <v>78.099999999999994</v>
      </c>
      <c r="AU32" s="46">
        <v>1.02</v>
      </c>
      <c r="AV32" s="46">
        <v>8310</v>
      </c>
      <c r="AW32" s="46">
        <v>0.503</v>
      </c>
      <c r="AX32" s="46">
        <v>21</v>
      </c>
      <c r="AY32" s="46">
        <v>45606</v>
      </c>
      <c r="AZ32" s="46">
        <v>0.52400000000000002</v>
      </c>
      <c r="BA32" s="46">
        <v>0.154</v>
      </c>
      <c r="BB32" s="46">
        <v>136</v>
      </c>
      <c r="BC32" s="46" t="s">
        <v>269</v>
      </c>
      <c r="BD32" s="46">
        <v>0.52200000000000002</v>
      </c>
      <c r="BE32" s="46">
        <v>1324</v>
      </c>
      <c r="BF32" s="46" t="s">
        <v>270</v>
      </c>
      <c r="BG32" s="46">
        <v>0.503</v>
      </c>
      <c r="BH32" s="46">
        <v>7.0832999999999993E-2</v>
      </c>
      <c r="BI32" s="46">
        <v>39.6</v>
      </c>
      <c r="BJ32" s="46">
        <v>38.9</v>
      </c>
    </row>
    <row r="33" spans="1:62" x14ac:dyDescent="0.25">
      <c r="A33" s="46" t="s">
        <v>79</v>
      </c>
      <c r="B33" s="46">
        <v>57</v>
      </c>
      <c r="C33" s="46">
        <v>31</v>
      </c>
      <c r="D33" s="46">
        <v>26</v>
      </c>
      <c r="E33" s="52">
        <v>0.54400000000000004</v>
      </c>
      <c r="F33" s="46">
        <v>0.63900000000000001</v>
      </c>
      <c r="G33" s="46">
        <v>0.64</v>
      </c>
      <c r="H33" s="46">
        <v>343</v>
      </c>
      <c r="I33" s="46">
        <v>7.9000000000000001E-2</v>
      </c>
      <c r="J33" s="46">
        <v>196</v>
      </c>
      <c r="K33" s="46">
        <v>4.4999999999999998E-2</v>
      </c>
      <c r="L33" s="46">
        <v>0.115</v>
      </c>
      <c r="M33" s="46">
        <v>0.60599999999999998</v>
      </c>
      <c r="N33" s="46">
        <v>0.73699999999999999</v>
      </c>
      <c r="O33" s="46">
        <v>0.48899999999999999</v>
      </c>
      <c r="P33" s="46">
        <v>0.55300000000000005</v>
      </c>
      <c r="Q33" s="46">
        <v>0.80600000000000005</v>
      </c>
      <c r="R33" s="46">
        <v>6.4</v>
      </c>
      <c r="S33" s="46">
        <v>2.2999999999999998</v>
      </c>
      <c r="T33" s="46">
        <v>0.41299999999999998</v>
      </c>
      <c r="U33" s="46">
        <v>137</v>
      </c>
      <c r="V33" s="46">
        <v>332</v>
      </c>
      <c r="W33" s="46">
        <v>0.49</v>
      </c>
      <c r="X33" s="46">
        <v>2.2000000000000002</v>
      </c>
      <c r="Y33" s="46">
        <v>5.8</v>
      </c>
      <c r="Z33" s="46">
        <v>0.92</v>
      </c>
      <c r="AA33" s="46">
        <v>2.4</v>
      </c>
      <c r="AB33" s="46">
        <v>0.60099999999999998</v>
      </c>
      <c r="AC33" s="46">
        <v>199</v>
      </c>
      <c r="AD33" s="46">
        <v>331</v>
      </c>
      <c r="AE33" s="46">
        <v>0.49</v>
      </c>
      <c r="AF33" s="46">
        <v>2.2000000000000002</v>
      </c>
      <c r="AG33" s="46">
        <v>5.8</v>
      </c>
      <c r="AH33" s="46">
        <v>0.89</v>
      </c>
      <c r="AI33" s="46">
        <v>2.2999999999999998</v>
      </c>
      <c r="AJ33" s="46">
        <v>0.35799999999999998</v>
      </c>
      <c r="AK33" s="46">
        <v>0.36099999999999999</v>
      </c>
      <c r="AL33" s="46">
        <v>6.6000000000000003E-2</v>
      </c>
      <c r="AM33" s="46">
        <v>3.3000000000000002E-2</v>
      </c>
      <c r="AN33" s="46">
        <v>0.29199999999999998</v>
      </c>
      <c r="AO33" s="46">
        <v>0.47299999999999998</v>
      </c>
      <c r="AP33" s="46">
        <v>0.20399999999999999</v>
      </c>
      <c r="AQ33" s="46">
        <v>6.2</v>
      </c>
      <c r="AR33" s="46">
        <v>2.2000000000000002</v>
      </c>
      <c r="AS33" s="46">
        <v>59.5</v>
      </c>
      <c r="AT33" s="46">
        <v>76.599999999999994</v>
      </c>
      <c r="AU33" s="46">
        <v>0.99</v>
      </c>
      <c r="AV33" s="46">
        <v>8521</v>
      </c>
      <c r="AW33" s="46">
        <v>0.501</v>
      </c>
      <c r="AX33" s="46">
        <v>23</v>
      </c>
      <c r="AY33" s="46" t="s">
        <v>271</v>
      </c>
      <c r="AZ33" s="46">
        <v>0.69599999999999995</v>
      </c>
      <c r="BA33" s="46">
        <v>0.154</v>
      </c>
      <c r="BB33" s="46">
        <v>149</v>
      </c>
      <c r="BC33" s="46" t="s">
        <v>272</v>
      </c>
      <c r="BD33" s="46">
        <v>0.54400000000000004</v>
      </c>
      <c r="BE33" s="46">
        <v>1352</v>
      </c>
      <c r="BF33" s="46" t="s">
        <v>273</v>
      </c>
      <c r="BG33" s="46">
        <v>0.50600000000000001</v>
      </c>
      <c r="BH33" s="46">
        <v>7.2221999999999995E-2</v>
      </c>
      <c r="BI33" s="46">
        <v>39.9</v>
      </c>
      <c r="BJ33" s="46">
        <v>41.8</v>
      </c>
    </row>
    <row r="34" spans="1:62" x14ac:dyDescent="0.25">
      <c r="A34" s="46" t="s">
        <v>80</v>
      </c>
      <c r="B34" s="46">
        <v>57</v>
      </c>
      <c r="C34" s="46">
        <v>32</v>
      </c>
      <c r="D34" s="46">
        <v>25</v>
      </c>
      <c r="E34" s="52">
        <v>0.56100000000000005</v>
      </c>
      <c r="F34" s="46">
        <v>0.66700000000000004</v>
      </c>
      <c r="G34" s="46">
        <v>0.64200000000000002</v>
      </c>
      <c r="H34" s="46">
        <v>402</v>
      </c>
      <c r="I34" s="46">
        <v>9.2999999999999999E-2</v>
      </c>
      <c r="J34" s="46">
        <v>61</v>
      </c>
      <c r="K34" s="46">
        <v>1.4E-2</v>
      </c>
      <c r="L34" s="46">
        <v>3.5000000000000003E-2</v>
      </c>
      <c r="M34" s="46">
        <v>0.59599999999999997</v>
      </c>
      <c r="N34" s="46">
        <v>0.73799999999999999</v>
      </c>
      <c r="O34" s="46">
        <v>0.56200000000000006</v>
      </c>
      <c r="P34" s="46">
        <v>0.58199999999999996</v>
      </c>
      <c r="Q34" s="46">
        <v>0.83699999999999997</v>
      </c>
      <c r="R34" s="46">
        <v>6.3</v>
      </c>
      <c r="S34" s="46">
        <v>2.1</v>
      </c>
      <c r="T34" s="46">
        <v>0.34899999999999998</v>
      </c>
      <c r="U34" s="46">
        <v>129</v>
      </c>
      <c r="V34" s="46">
        <v>370</v>
      </c>
      <c r="W34" s="46">
        <v>0.54</v>
      </c>
      <c r="X34" s="46">
        <v>2.6</v>
      </c>
      <c r="Y34" s="46">
        <v>6.5</v>
      </c>
      <c r="Z34" s="46">
        <v>0.91</v>
      </c>
      <c r="AA34" s="46">
        <v>2.2999999999999998</v>
      </c>
      <c r="AB34" s="46">
        <v>0.67600000000000005</v>
      </c>
      <c r="AC34" s="46">
        <v>234</v>
      </c>
      <c r="AD34" s="46">
        <v>346</v>
      </c>
      <c r="AE34" s="46">
        <v>0.5</v>
      </c>
      <c r="AF34" s="46">
        <v>2.5</v>
      </c>
      <c r="AG34" s="46">
        <v>6.1</v>
      </c>
      <c r="AH34" s="46">
        <v>0.79</v>
      </c>
      <c r="AI34" s="46">
        <v>2</v>
      </c>
      <c r="AJ34" s="46">
        <v>0.36</v>
      </c>
      <c r="AK34" s="46">
        <v>0.36099999999999999</v>
      </c>
      <c r="AL34" s="46">
        <v>6.6000000000000003E-2</v>
      </c>
      <c r="AM34" s="46">
        <v>3.5000000000000003E-2</v>
      </c>
      <c r="AN34" s="46">
        <v>0.29399999999999998</v>
      </c>
      <c r="AO34" s="46">
        <v>0.47399999999999998</v>
      </c>
      <c r="AP34" s="46">
        <v>0.187</v>
      </c>
      <c r="AQ34" s="46">
        <v>6.5</v>
      </c>
      <c r="AR34" s="46">
        <v>2.4</v>
      </c>
      <c r="AS34" s="46">
        <v>55</v>
      </c>
      <c r="AT34" s="46">
        <v>125.1</v>
      </c>
      <c r="AU34" s="46">
        <v>1.08</v>
      </c>
      <c r="AV34" s="46">
        <v>8854</v>
      </c>
      <c r="AW34" s="46">
        <v>0.51</v>
      </c>
      <c r="AX34" s="46">
        <v>33</v>
      </c>
      <c r="AY34" s="46" t="s">
        <v>274</v>
      </c>
      <c r="AZ34" s="46">
        <v>0.66700000000000004</v>
      </c>
      <c r="BA34" s="46">
        <v>0.23400000000000001</v>
      </c>
      <c r="BB34" s="46">
        <v>141</v>
      </c>
      <c r="BC34" s="46" t="s">
        <v>275</v>
      </c>
      <c r="BD34" s="46">
        <v>0.56000000000000005</v>
      </c>
      <c r="BE34" s="46">
        <v>1378</v>
      </c>
      <c r="BF34" s="46" t="s">
        <v>276</v>
      </c>
      <c r="BG34" s="46">
        <v>0.51100000000000001</v>
      </c>
      <c r="BH34" s="46">
        <v>8.4722000000000006E-2</v>
      </c>
      <c r="BI34" s="46">
        <v>49.4</v>
      </c>
      <c r="BJ34" s="46">
        <v>47.2</v>
      </c>
    </row>
    <row r="35" spans="1:62" x14ac:dyDescent="0.25">
      <c r="A35" s="46" t="s">
        <v>81</v>
      </c>
      <c r="B35" s="46">
        <v>35</v>
      </c>
      <c r="C35" s="46">
        <v>17</v>
      </c>
      <c r="D35" s="46">
        <v>18</v>
      </c>
      <c r="E35" s="52">
        <v>0.48599999999999999</v>
      </c>
      <c r="F35" s="46">
        <v>0.63300000000000001</v>
      </c>
      <c r="G35" s="46">
        <v>0.628</v>
      </c>
      <c r="H35" s="46">
        <v>187</v>
      </c>
      <c r="I35" s="46">
        <v>6.8000000000000005E-2</v>
      </c>
      <c r="J35" s="46">
        <v>86</v>
      </c>
      <c r="K35" s="46">
        <v>3.1E-2</v>
      </c>
      <c r="L35" s="46">
        <v>7.6999999999999999E-2</v>
      </c>
      <c r="M35" s="46">
        <v>0.59599999999999997</v>
      </c>
      <c r="N35" s="46">
        <v>0.72899999999999998</v>
      </c>
      <c r="O35" s="46">
        <v>0.49299999999999999</v>
      </c>
      <c r="P35" s="46">
        <v>0.53400000000000003</v>
      </c>
      <c r="Q35" s="46">
        <v>0.79500000000000004</v>
      </c>
      <c r="R35" s="46">
        <v>6.4</v>
      </c>
      <c r="S35" s="46">
        <v>2.4</v>
      </c>
      <c r="T35" s="46">
        <v>0.36399999999999999</v>
      </c>
      <c r="U35" s="46">
        <v>88</v>
      </c>
      <c r="V35" s="46">
        <v>242</v>
      </c>
      <c r="W35" s="46">
        <v>0.56000000000000005</v>
      </c>
      <c r="X35" s="46">
        <v>2.7</v>
      </c>
      <c r="Y35" s="46">
        <v>6.9</v>
      </c>
      <c r="Z35" s="46">
        <v>0.97</v>
      </c>
      <c r="AA35" s="46">
        <v>2.5</v>
      </c>
      <c r="AB35" s="46">
        <v>0.64500000000000002</v>
      </c>
      <c r="AC35" s="46">
        <v>160</v>
      </c>
      <c r="AD35" s="46">
        <v>248</v>
      </c>
      <c r="AE35" s="46">
        <v>0.57999999999999996</v>
      </c>
      <c r="AF35" s="46">
        <v>2.7</v>
      </c>
      <c r="AG35" s="46">
        <v>7.1</v>
      </c>
      <c r="AH35" s="46">
        <v>0.97</v>
      </c>
      <c r="AI35" s="46">
        <v>2.5</v>
      </c>
      <c r="AJ35" s="46">
        <v>0.36699999999999999</v>
      </c>
      <c r="AK35" s="46">
        <v>0.37</v>
      </c>
      <c r="AL35" s="46">
        <v>7.3999999999999996E-2</v>
      </c>
      <c r="AM35" s="46">
        <v>3.9E-2</v>
      </c>
      <c r="AN35" s="46">
        <v>0.29499999999999998</v>
      </c>
      <c r="AO35" s="46">
        <v>0.47899999999999998</v>
      </c>
      <c r="AP35" s="46">
        <v>0.20200000000000001</v>
      </c>
      <c r="AQ35" s="46">
        <v>6.5</v>
      </c>
      <c r="AR35" s="46">
        <v>2.4</v>
      </c>
      <c r="AS35" s="46">
        <v>49</v>
      </c>
      <c r="AT35" s="46">
        <v>66.7</v>
      </c>
      <c r="AU35" s="46">
        <v>1</v>
      </c>
      <c r="AV35" s="46">
        <v>5590</v>
      </c>
      <c r="AW35" s="46">
        <v>0.499</v>
      </c>
      <c r="AX35" s="46">
        <v>17</v>
      </c>
      <c r="AY35" s="46">
        <v>45543</v>
      </c>
      <c r="AZ35" s="46">
        <v>0.52900000000000003</v>
      </c>
      <c r="BA35" s="46">
        <v>0.187</v>
      </c>
      <c r="BB35" s="46">
        <v>91</v>
      </c>
      <c r="BC35" s="46" t="s">
        <v>277</v>
      </c>
      <c r="BD35" s="46">
        <v>0.48399999999999999</v>
      </c>
      <c r="BE35" s="46">
        <v>866</v>
      </c>
      <c r="BF35" s="46" t="s">
        <v>278</v>
      </c>
      <c r="BG35" s="46">
        <v>0.497</v>
      </c>
      <c r="BH35" s="46">
        <v>8.8888999999999996E-2</v>
      </c>
      <c r="BI35" s="46">
        <v>49.3</v>
      </c>
      <c r="BJ35" s="46">
        <v>48.1</v>
      </c>
    </row>
    <row r="36" spans="1:62" x14ac:dyDescent="0.25">
      <c r="A36" s="46" t="s">
        <v>82</v>
      </c>
      <c r="B36" s="46">
        <v>42</v>
      </c>
      <c r="C36" s="46">
        <v>21</v>
      </c>
      <c r="D36" s="46">
        <v>21</v>
      </c>
      <c r="E36" s="52">
        <v>0.5</v>
      </c>
      <c r="F36" s="46">
        <v>0.65200000000000002</v>
      </c>
      <c r="G36" s="46">
        <v>0.65500000000000003</v>
      </c>
      <c r="H36" s="46">
        <v>344</v>
      </c>
      <c r="I36" s="46">
        <v>0.104</v>
      </c>
      <c r="J36" s="46">
        <v>196</v>
      </c>
      <c r="K36" s="46">
        <v>5.8999999999999997E-2</v>
      </c>
      <c r="L36" s="46">
        <v>0.159</v>
      </c>
      <c r="M36" s="46">
        <v>0.626</v>
      </c>
      <c r="N36" s="46">
        <v>0.747</v>
      </c>
      <c r="O36" s="46">
        <v>0.49399999999999999</v>
      </c>
      <c r="P36" s="46">
        <v>0.58699999999999997</v>
      </c>
      <c r="Q36" s="46">
        <v>0.82399999999999995</v>
      </c>
      <c r="R36" s="46">
        <v>6.2</v>
      </c>
      <c r="S36" s="46">
        <v>2.2000000000000002</v>
      </c>
      <c r="T36" s="46">
        <v>0.36299999999999999</v>
      </c>
      <c r="U36" s="46">
        <v>97</v>
      </c>
      <c r="V36" s="46">
        <v>267</v>
      </c>
      <c r="W36" s="46">
        <v>0.51</v>
      </c>
      <c r="X36" s="46">
        <v>2.5</v>
      </c>
      <c r="Y36" s="46">
        <v>6.4</v>
      </c>
      <c r="Z36" s="46">
        <v>0.92</v>
      </c>
      <c r="AA36" s="46">
        <v>2.2999999999999998</v>
      </c>
      <c r="AB36" s="46">
        <v>0.57699999999999996</v>
      </c>
      <c r="AC36" s="46">
        <v>128</v>
      </c>
      <c r="AD36" s="46">
        <v>222</v>
      </c>
      <c r="AE36" s="46">
        <v>0.42</v>
      </c>
      <c r="AF36" s="46">
        <v>2.1</v>
      </c>
      <c r="AG36" s="46">
        <v>5.3</v>
      </c>
      <c r="AH36" s="46">
        <v>0.9</v>
      </c>
      <c r="AI36" s="46">
        <v>2.2000000000000002</v>
      </c>
      <c r="AJ36" s="46">
        <v>0.36099999999999999</v>
      </c>
      <c r="AK36" s="46">
        <v>0.36499999999999999</v>
      </c>
      <c r="AL36" s="46">
        <v>6.7000000000000004E-2</v>
      </c>
      <c r="AM36" s="46">
        <v>3.2000000000000001E-2</v>
      </c>
      <c r="AN36" s="46">
        <v>0.29599999999999999</v>
      </c>
      <c r="AO36" s="46">
        <v>0.46899999999999997</v>
      </c>
      <c r="AP36" s="46">
        <v>0.185</v>
      </c>
      <c r="AQ36" s="46">
        <v>6.5</v>
      </c>
      <c r="AR36" s="46">
        <v>2.4</v>
      </c>
      <c r="AS36" s="46">
        <v>69</v>
      </c>
      <c r="AT36" s="46">
        <v>73.2</v>
      </c>
      <c r="AU36" s="46">
        <v>1.04</v>
      </c>
      <c r="AV36" s="46">
        <v>6731</v>
      </c>
      <c r="AW36" s="46">
        <v>0.504</v>
      </c>
      <c r="AX36" s="46">
        <v>24</v>
      </c>
      <c r="AY36" s="46">
        <v>45638</v>
      </c>
      <c r="AZ36" s="46">
        <v>0.5</v>
      </c>
      <c r="BA36" s="46">
        <v>0.22900000000000001</v>
      </c>
      <c r="BB36" s="46">
        <v>105</v>
      </c>
      <c r="BC36" s="46" t="s">
        <v>279</v>
      </c>
      <c r="BD36" s="46">
        <v>0.48599999999999999</v>
      </c>
      <c r="BE36" s="46">
        <v>1058</v>
      </c>
      <c r="BF36" s="46" t="s">
        <v>280</v>
      </c>
      <c r="BG36" s="46">
        <v>0.50700000000000001</v>
      </c>
      <c r="BH36" s="46">
        <v>8.9582999999999996E-2</v>
      </c>
      <c r="BI36" s="46">
        <v>51.6</v>
      </c>
      <c r="BJ36" s="46">
        <v>48.3</v>
      </c>
    </row>
    <row r="37" spans="1:62" x14ac:dyDescent="0.25">
      <c r="A37" s="46" t="s">
        <v>83</v>
      </c>
      <c r="B37" s="46">
        <v>52</v>
      </c>
      <c r="C37" s="46">
        <v>30</v>
      </c>
      <c r="D37" s="46">
        <v>22</v>
      </c>
      <c r="E37" s="52">
        <v>0.57699999999999996</v>
      </c>
      <c r="F37" s="46">
        <v>0.629</v>
      </c>
      <c r="G37" s="46">
        <v>0.623</v>
      </c>
      <c r="H37" s="46">
        <v>339</v>
      </c>
      <c r="I37" s="46">
        <v>7.3999999999999996E-2</v>
      </c>
      <c r="J37" s="46">
        <v>163</v>
      </c>
      <c r="K37" s="46">
        <v>3.5999999999999997E-2</v>
      </c>
      <c r="L37" s="46">
        <v>8.4000000000000005E-2</v>
      </c>
      <c r="M37" s="46">
        <v>0.57499999999999996</v>
      </c>
      <c r="N37" s="46">
        <v>0.70399999999999996</v>
      </c>
      <c r="O37" s="46">
        <v>0.52800000000000002</v>
      </c>
      <c r="P37" s="46">
        <v>0.57599999999999996</v>
      </c>
      <c r="Q37" s="46">
        <v>0.79700000000000004</v>
      </c>
      <c r="R37" s="46">
        <v>6.7</v>
      </c>
      <c r="S37" s="46">
        <v>2.5</v>
      </c>
      <c r="T37" s="46">
        <v>0.38200000000000001</v>
      </c>
      <c r="U37" s="46">
        <v>137</v>
      </c>
      <c r="V37" s="46">
        <v>359</v>
      </c>
      <c r="W37" s="46">
        <v>0.53</v>
      </c>
      <c r="X37" s="46">
        <v>2.6</v>
      </c>
      <c r="Y37" s="46">
        <v>6.9</v>
      </c>
      <c r="Z37" s="46">
        <v>0.99</v>
      </c>
      <c r="AA37" s="46">
        <v>2.6</v>
      </c>
      <c r="AB37" s="46">
        <v>0.64</v>
      </c>
      <c r="AC37" s="46">
        <v>247</v>
      </c>
      <c r="AD37" s="46">
        <v>386</v>
      </c>
      <c r="AE37" s="46">
        <v>0.56000000000000005</v>
      </c>
      <c r="AF37" s="46">
        <v>2.8</v>
      </c>
      <c r="AG37" s="46">
        <v>7.4</v>
      </c>
      <c r="AH37" s="46">
        <v>1</v>
      </c>
      <c r="AI37" s="46">
        <v>2.7</v>
      </c>
      <c r="AJ37" s="46">
        <v>0.36699999999999999</v>
      </c>
      <c r="AK37" s="46">
        <v>0.36599999999999999</v>
      </c>
      <c r="AL37" s="46">
        <v>5.5E-2</v>
      </c>
      <c r="AM37" s="46">
        <v>3.3000000000000002E-2</v>
      </c>
      <c r="AN37" s="46">
        <v>0.28499999999999998</v>
      </c>
      <c r="AO37" s="46">
        <v>0.498</v>
      </c>
      <c r="AP37" s="46">
        <v>0.20200000000000001</v>
      </c>
      <c r="AQ37" s="46">
        <v>6.5</v>
      </c>
      <c r="AR37" s="46">
        <v>2.4</v>
      </c>
      <c r="AS37" s="46">
        <v>51</v>
      </c>
      <c r="AT37" s="46">
        <v>67.599999999999994</v>
      </c>
      <c r="AU37" s="46">
        <v>0.99</v>
      </c>
      <c r="AV37" s="46">
        <v>8933</v>
      </c>
      <c r="AW37" s="46">
        <v>0.501</v>
      </c>
      <c r="AX37" s="46">
        <v>27</v>
      </c>
      <c r="AY37" s="46" t="s">
        <v>281</v>
      </c>
      <c r="AZ37" s="46">
        <v>0.66700000000000004</v>
      </c>
      <c r="BA37" s="46">
        <v>0.19400000000000001</v>
      </c>
      <c r="BB37" s="46">
        <v>139</v>
      </c>
      <c r="BC37" s="46" t="s">
        <v>282</v>
      </c>
      <c r="BD37" s="46">
        <v>0.54700000000000004</v>
      </c>
      <c r="BE37" s="46">
        <v>1363</v>
      </c>
      <c r="BF37" s="46" t="s">
        <v>283</v>
      </c>
      <c r="BG37" s="46">
        <v>0.502</v>
      </c>
      <c r="BH37" s="46">
        <v>8.4028000000000005E-2</v>
      </c>
      <c r="BI37" s="46">
        <v>45.3</v>
      </c>
      <c r="BJ37" s="46">
        <v>42.3</v>
      </c>
    </row>
    <row r="38" spans="1:62" x14ac:dyDescent="0.25">
      <c r="A38" s="46" t="s">
        <v>84</v>
      </c>
      <c r="B38" s="46">
        <v>40</v>
      </c>
      <c r="C38" s="46">
        <v>23</v>
      </c>
      <c r="D38" s="46">
        <v>17</v>
      </c>
      <c r="E38" s="52">
        <v>0.57499999999999996</v>
      </c>
      <c r="F38" s="46">
        <v>0.63400000000000001</v>
      </c>
      <c r="G38" s="46">
        <v>0.63</v>
      </c>
      <c r="H38" s="46">
        <v>176</v>
      </c>
      <c r="I38" s="46">
        <v>5.7000000000000002E-2</v>
      </c>
      <c r="J38" s="46">
        <v>81</v>
      </c>
      <c r="K38" s="46">
        <v>2.5999999999999999E-2</v>
      </c>
      <c r="L38" s="46">
        <v>7.6999999999999999E-2</v>
      </c>
      <c r="M38" s="46">
        <v>0.66100000000000003</v>
      </c>
      <c r="N38" s="46">
        <v>0.70199999999999996</v>
      </c>
      <c r="O38" s="46">
        <v>0.503</v>
      </c>
      <c r="P38" s="46">
        <v>0.54500000000000004</v>
      </c>
      <c r="Q38" s="46">
        <v>0.78600000000000003</v>
      </c>
      <c r="R38" s="46">
        <v>6.3</v>
      </c>
      <c r="S38" s="46">
        <v>2.2999999999999998</v>
      </c>
      <c r="T38" s="46">
        <v>0.39500000000000002</v>
      </c>
      <c r="U38" s="46">
        <v>116</v>
      </c>
      <c r="V38" s="46">
        <v>294</v>
      </c>
      <c r="W38" s="46">
        <v>0.61</v>
      </c>
      <c r="X38" s="46">
        <v>2.8</v>
      </c>
      <c r="Y38" s="46">
        <v>7.4</v>
      </c>
      <c r="Z38" s="46">
        <v>1.1200000000000001</v>
      </c>
      <c r="AA38" s="46">
        <v>2.9</v>
      </c>
      <c r="AB38" s="46">
        <v>0.58199999999999996</v>
      </c>
      <c r="AC38" s="46">
        <v>146</v>
      </c>
      <c r="AD38" s="46">
        <v>251</v>
      </c>
      <c r="AE38" s="46">
        <v>0.51</v>
      </c>
      <c r="AF38" s="46">
        <v>2.4</v>
      </c>
      <c r="AG38" s="46">
        <v>6.3</v>
      </c>
      <c r="AH38" s="46">
        <v>1.01</v>
      </c>
      <c r="AI38" s="46">
        <v>2.6</v>
      </c>
      <c r="AJ38" s="46">
        <v>0.377</v>
      </c>
      <c r="AK38" s="46">
        <v>0.39400000000000002</v>
      </c>
      <c r="AL38" s="46">
        <v>9.0999999999999998E-2</v>
      </c>
      <c r="AM38" s="46">
        <v>3.1E-2</v>
      </c>
      <c r="AN38" s="46">
        <v>0.28499999999999998</v>
      </c>
      <c r="AO38" s="46">
        <v>0.53800000000000003</v>
      </c>
      <c r="AP38" s="46">
        <v>0.24199999999999999</v>
      </c>
      <c r="AQ38" s="46">
        <v>6.4</v>
      </c>
      <c r="AR38" s="46">
        <v>2.4</v>
      </c>
      <c r="AS38" s="46">
        <v>53</v>
      </c>
      <c r="AT38" s="46">
        <v>50.7</v>
      </c>
      <c r="AU38" s="46">
        <v>1.03</v>
      </c>
      <c r="AV38" s="46">
        <v>6176</v>
      </c>
      <c r="AW38" s="46">
        <v>0.50600000000000001</v>
      </c>
      <c r="AX38" s="46">
        <v>16</v>
      </c>
      <c r="AY38" s="46">
        <v>45512</v>
      </c>
      <c r="AZ38" s="46">
        <v>0.5</v>
      </c>
      <c r="BA38" s="46">
        <v>0.154</v>
      </c>
      <c r="BB38" s="46">
        <v>104</v>
      </c>
      <c r="BC38" s="46" t="s">
        <v>284</v>
      </c>
      <c r="BD38" s="46">
        <v>0.54800000000000004</v>
      </c>
      <c r="BE38" s="46">
        <v>971</v>
      </c>
      <c r="BF38" s="46" t="s">
        <v>285</v>
      </c>
      <c r="BG38" s="46">
        <v>0.51700000000000002</v>
      </c>
      <c r="BH38" s="46">
        <v>7.2221999999999995E-2</v>
      </c>
      <c r="BI38" s="46">
        <v>39.799999999999997</v>
      </c>
      <c r="BJ38" s="46">
        <v>40.200000000000003</v>
      </c>
    </row>
    <row r="39" spans="1:62" x14ac:dyDescent="0.25">
      <c r="A39" s="46" t="s">
        <v>85</v>
      </c>
      <c r="B39" s="46">
        <v>25</v>
      </c>
      <c r="C39" s="46">
        <v>15</v>
      </c>
      <c r="D39" s="46">
        <v>10</v>
      </c>
      <c r="E39" s="52">
        <v>0.6</v>
      </c>
      <c r="F39" s="46">
        <v>0.65500000000000003</v>
      </c>
      <c r="G39" s="46">
        <v>0.63500000000000001</v>
      </c>
      <c r="H39" s="46">
        <v>198</v>
      </c>
      <c r="I39" s="46">
        <v>0.104</v>
      </c>
      <c r="J39" s="46">
        <v>53</v>
      </c>
      <c r="K39" s="46">
        <v>2.8000000000000001E-2</v>
      </c>
      <c r="L39" s="46">
        <v>8.2000000000000003E-2</v>
      </c>
      <c r="M39" s="46">
        <v>0.66100000000000003</v>
      </c>
      <c r="N39" s="46">
        <v>0.73899999999999999</v>
      </c>
      <c r="O39" s="46">
        <v>0.49099999999999999</v>
      </c>
      <c r="P39" s="46">
        <v>0.53600000000000003</v>
      </c>
      <c r="Q39" s="46">
        <v>0.82599999999999996</v>
      </c>
      <c r="R39" s="46">
        <v>6.2</v>
      </c>
      <c r="S39" s="46">
        <v>2.2000000000000002</v>
      </c>
      <c r="T39" s="46">
        <v>0.39900000000000002</v>
      </c>
      <c r="U39" s="46">
        <v>65</v>
      </c>
      <c r="V39" s="46">
        <v>163</v>
      </c>
      <c r="W39" s="46">
        <v>0.55000000000000004</v>
      </c>
      <c r="X39" s="46">
        <v>2.5</v>
      </c>
      <c r="Y39" s="46">
        <v>6.5</v>
      </c>
      <c r="Z39" s="46">
        <v>1.02</v>
      </c>
      <c r="AA39" s="46">
        <v>2.6</v>
      </c>
      <c r="AB39" s="46">
        <v>0.65100000000000002</v>
      </c>
      <c r="AC39" s="46">
        <v>99</v>
      </c>
      <c r="AD39" s="46">
        <v>152</v>
      </c>
      <c r="AE39" s="46">
        <v>0.5</v>
      </c>
      <c r="AF39" s="46">
        <v>2.4</v>
      </c>
      <c r="AG39" s="46">
        <v>6.1</v>
      </c>
      <c r="AH39" s="46">
        <v>0.83</v>
      </c>
      <c r="AI39" s="46">
        <v>2.1</v>
      </c>
      <c r="AJ39" s="46">
        <v>0.35799999999999998</v>
      </c>
      <c r="AK39" s="46">
        <v>0.36699999999999999</v>
      </c>
      <c r="AL39" s="46">
        <v>9.8000000000000004E-2</v>
      </c>
      <c r="AM39" s="46">
        <v>4.3999999999999997E-2</v>
      </c>
      <c r="AN39" s="46">
        <v>0.27100000000000002</v>
      </c>
      <c r="AO39" s="46">
        <v>0.51500000000000001</v>
      </c>
      <c r="AP39" s="46">
        <v>0.217</v>
      </c>
      <c r="AQ39" s="46">
        <v>6.2</v>
      </c>
      <c r="AR39" s="46">
        <v>2.2000000000000002</v>
      </c>
      <c r="AS39" s="46">
        <v>79.5</v>
      </c>
      <c r="AT39" s="46">
        <v>97</v>
      </c>
      <c r="AU39" s="46">
        <v>1.04</v>
      </c>
      <c r="AV39" s="46">
        <v>3746</v>
      </c>
      <c r="AW39" s="46">
        <v>0.50900000000000001</v>
      </c>
      <c r="AX39" s="46">
        <v>7</v>
      </c>
      <c r="AY39" s="46">
        <v>45355</v>
      </c>
      <c r="AZ39" s="46">
        <v>0.42899999999999999</v>
      </c>
      <c r="BA39" s="46">
        <v>0.109</v>
      </c>
      <c r="BB39" s="46">
        <v>64</v>
      </c>
      <c r="BC39" s="46" t="s">
        <v>286</v>
      </c>
      <c r="BD39" s="46">
        <v>0.56299999999999994</v>
      </c>
      <c r="BE39" s="46">
        <v>603</v>
      </c>
      <c r="BF39" s="46" t="s">
        <v>287</v>
      </c>
      <c r="BG39" s="46">
        <v>0.52400000000000002</v>
      </c>
      <c r="BH39" s="46">
        <v>7.2221999999999995E-2</v>
      </c>
      <c r="BI39" s="46">
        <v>40.5</v>
      </c>
      <c r="BJ39" s="46">
        <v>41.6</v>
      </c>
    </row>
    <row r="40" spans="1:62" x14ac:dyDescent="0.25">
      <c r="A40" s="46" t="s">
        <v>86</v>
      </c>
      <c r="B40" s="46">
        <v>50</v>
      </c>
      <c r="C40" s="46">
        <v>27</v>
      </c>
      <c r="D40" s="46">
        <v>23</v>
      </c>
      <c r="E40" s="52">
        <v>0.54</v>
      </c>
      <c r="F40" s="46">
        <v>0.64400000000000002</v>
      </c>
      <c r="G40" s="46">
        <v>0.63700000000000001</v>
      </c>
      <c r="H40" s="46">
        <v>298</v>
      </c>
      <c r="I40" s="46">
        <v>7.5999999999999998E-2</v>
      </c>
      <c r="J40" s="46">
        <v>124</v>
      </c>
      <c r="K40" s="46">
        <v>3.2000000000000001E-2</v>
      </c>
      <c r="L40" s="46">
        <v>8.5999999999999993E-2</v>
      </c>
      <c r="M40" s="46">
        <v>0.63300000000000001</v>
      </c>
      <c r="N40" s="46">
        <v>0.71599999999999997</v>
      </c>
      <c r="O40" s="46">
        <v>0.52100000000000002</v>
      </c>
      <c r="P40" s="46">
        <v>0.56999999999999995</v>
      </c>
      <c r="Q40" s="46">
        <v>0.81</v>
      </c>
      <c r="R40" s="46">
        <v>6.6</v>
      </c>
      <c r="S40" s="46">
        <v>2.2999999999999998</v>
      </c>
      <c r="T40" s="46">
        <v>0.379</v>
      </c>
      <c r="U40" s="46">
        <v>121</v>
      </c>
      <c r="V40" s="46">
        <v>319</v>
      </c>
      <c r="W40" s="46">
        <v>0.53</v>
      </c>
      <c r="X40" s="46">
        <v>2.6</v>
      </c>
      <c r="Y40" s="46">
        <v>6.4</v>
      </c>
      <c r="Z40" s="46">
        <v>0.98</v>
      </c>
      <c r="AA40" s="46">
        <v>2.4</v>
      </c>
      <c r="AB40" s="46">
        <v>0.65500000000000003</v>
      </c>
      <c r="AC40" s="46">
        <v>215</v>
      </c>
      <c r="AD40" s="46">
        <v>328</v>
      </c>
      <c r="AE40" s="46">
        <v>0.55000000000000004</v>
      </c>
      <c r="AF40" s="46">
        <v>2.6</v>
      </c>
      <c r="AG40" s="46">
        <v>6.6</v>
      </c>
      <c r="AH40" s="46">
        <v>0.91</v>
      </c>
      <c r="AI40" s="46">
        <v>2.2999999999999998</v>
      </c>
      <c r="AJ40" s="46">
        <v>0.35699999999999998</v>
      </c>
      <c r="AK40" s="46">
        <v>0.35199999999999998</v>
      </c>
      <c r="AL40" s="46">
        <v>0.06</v>
      </c>
      <c r="AM40" s="46">
        <v>0.04</v>
      </c>
      <c r="AN40" s="46">
        <v>0.26800000000000002</v>
      </c>
      <c r="AO40" s="46">
        <v>0.503</v>
      </c>
      <c r="AP40" s="46">
        <v>0.20100000000000001</v>
      </c>
      <c r="AQ40" s="46">
        <v>6.3</v>
      </c>
      <c r="AR40" s="46">
        <v>2.2999999999999998</v>
      </c>
      <c r="AS40" s="46">
        <v>77</v>
      </c>
      <c r="AT40" s="46">
        <v>116.7</v>
      </c>
      <c r="AU40" s="46">
        <v>1</v>
      </c>
      <c r="AV40" s="46">
        <v>7731</v>
      </c>
      <c r="AW40" s="46">
        <v>0.503</v>
      </c>
      <c r="AX40" s="46">
        <v>24</v>
      </c>
      <c r="AY40" s="46" t="s">
        <v>288</v>
      </c>
      <c r="AZ40" s="46">
        <v>0.625</v>
      </c>
      <c r="BA40" s="46">
        <v>0.19400000000000001</v>
      </c>
      <c r="BB40" s="46">
        <v>124</v>
      </c>
      <c r="BC40" s="46" t="s">
        <v>289</v>
      </c>
      <c r="BD40" s="46">
        <v>0.54800000000000004</v>
      </c>
      <c r="BE40" s="46">
        <v>1198</v>
      </c>
      <c r="BF40" s="46" t="s">
        <v>290</v>
      </c>
      <c r="BG40" s="46">
        <v>0.503</v>
      </c>
      <c r="BH40" s="46">
        <v>7.3610999999999996E-2</v>
      </c>
      <c r="BI40" s="46">
        <v>42.6</v>
      </c>
      <c r="BJ40" s="46">
        <v>41</v>
      </c>
    </row>
    <row r="41" spans="1:62" x14ac:dyDescent="0.25">
      <c r="A41" s="46" t="s">
        <v>87</v>
      </c>
      <c r="B41" s="46">
        <v>45</v>
      </c>
      <c r="C41" s="46">
        <v>27</v>
      </c>
      <c r="D41" s="46">
        <v>18</v>
      </c>
      <c r="E41" s="52">
        <v>0.6</v>
      </c>
      <c r="F41" s="46">
        <v>0.64800000000000002</v>
      </c>
      <c r="G41" s="46">
        <v>0.64400000000000002</v>
      </c>
      <c r="H41" s="46">
        <v>384</v>
      </c>
      <c r="I41" s="46">
        <v>0.10299999999999999</v>
      </c>
      <c r="J41" s="46">
        <v>191</v>
      </c>
      <c r="K41" s="46">
        <v>5.0999999999999997E-2</v>
      </c>
      <c r="L41" s="46">
        <v>0.127</v>
      </c>
      <c r="M41" s="46">
        <v>0.59599999999999997</v>
      </c>
      <c r="N41" s="46">
        <v>0.748</v>
      </c>
      <c r="O41" s="46">
        <v>0.499</v>
      </c>
      <c r="P41" s="46">
        <v>0.57199999999999995</v>
      </c>
      <c r="Q41" s="46">
        <v>0.82199999999999995</v>
      </c>
      <c r="R41" s="46">
        <v>6.3</v>
      </c>
      <c r="S41" s="46">
        <v>2.2000000000000002</v>
      </c>
      <c r="T41" s="46">
        <v>0.40400000000000003</v>
      </c>
      <c r="U41" s="46">
        <v>135</v>
      </c>
      <c r="V41" s="46">
        <v>334</v>
      </c>
      <c r="W41" s="46">
        <v>0.56000000000000005</v>
      </c>
      <c r="X41" s="46">
        <v>2.8</v>
      </c>
      <c r="Y41" s="46">
        <v>7.4</v>
      </c>
      <c r="Z41" s="46">
        <v>1.1200000000000001</v>
      </c>
      <c r="AA41" s="46">
        <v>3</v>
      </c>
      <c r="AB41" s="46">
        <v>0.61399999999999999</v>
      </c>
      <c r="AC41" s="46">
        <v>167</v>
      </c>
      <c r="AD41" s="46">
        <v>272</v>
      </c>
      <c r="AE41" s="46">
        <v>0.46</v>
      </c>
      <c r="AF41" s="46">
        <v>2.2000000000000002</v>
      </c>
      <c r="AG41" s="46">
        <v>6</v>
      </c>
      <c r="AH41" s="46">
        <v>0.87</v>
      </c>
      <c r="AI41" s="46">
        <v>2.2999999999999998</v>
      </c>
      <c r="AJ41" s="46">
        <v>0.372</v>
      </c>
      <c r="AK41" s="46">
        <v>0.36399999999999999</v>
      </c>
      <c r="AL41" s="46">
        <v>3.9E-2</v>
      </c>
      <c r="AM41" s="46">
        <v>3.5999999999999997E-2</v>
      </c>
      <c r="AN41" s="46">
        <v>0.311</v>
      </c>
      <c r="AO41" s="46">
        <v>0.47599999999999998</v>
      </c>
      <c r="AP41" s="46">
        <v>0.22700000000000001</v>
      </c>
      <c r="AQ41" s="46">
        <v>6.3</v>
      </c>
      <c r="AR41" s="46">
        <v>2.4</v>
      </c>
      <c r="AS41" s="46">
        <v>36</v>
      </c>
      <c r="AT41" s="46">
        <v>62</v>
      </c>
      <c r="AU41" s="46">
        <v>1.06</v>
      </c>
      <c r="AV41" s="46">
        <v>7508</v>
      </c>
      <c r="AW41" s="46">
        <v>0.50900000000000001</v>
      </c>
      <c r="AX41" s="46">
        <v>21</v>
      </c>
      <c r="AY41" s="46">
        <v>45635</v>
      </c>
      <c r="AZ41" s="46">
        <v>0.57099999999999995</v>
      </c>
      <c r="BA41" s="46">
        <v>0.17399999999999999</v>
      </c>
      <c r="BB41" s="46">
        <v>121</v>
      </c>
      <c r="BC41" s="46" t="s">
        <v>291</v>
      </c>
      <c r="BD41" s="46">
        <v>0.58699999999999997</v>
      </c>
      <c r="BE41" s="46">
        <v>1186</v>
      </c>
      <c r="BF41" s="46" t="s">
        <v>292</v>
      </c>
      <c r="BG41" s="46">
        <v>0.52300000000000002</v>
      </c>
      <c r="BH41" s="46">
        <v>8.3333000000000004E-2</v>
      </c>
      <c r="BI41" s="46">
        <v>44.6</v>
      </c>
      <c r="BJ41" s="46">
        <v>43.1</v>
      </c>
    </row>
    <row r="42" spans="1:62" x14ac:dyDescent="0.25">
      <c r="A42" s="46" t="s">
        <v>89</v>
      </c>
      <c r="B42" s="46">
        <v>16</v>
      </c>
      <c r="C42" s="46">
        <v>11</v>
      </c>
      <c r="D42" s="46">
        <v>5</v>
      </c>
      <c r="E42" s="52">
        <v>0.68799999999999994</v>
      </c>
      <c r="F42" s="46">
        <v>0.57899999999999996</v>
      </c>
      <c r="G42" s="46">
        <v>0.58499999999999996</v>
      </c>
      <c r="H42" s="46">
        <v>17</v>
      </c>
      <c r="I42" s="46">
        <v>1.4999999999999999E-2</v>
      </c>
      <c r="J42" s="46">
        <v>24</v>
      </c>
      <c r="K42" s="46">
        <v>2.1000000000000001E-2</v>
      </c>
      <c r="L42" s="46">
        <v>7.0999999999999994E-2</v>
      </c>
      <c r="M42" s="46">
        <v>0.70699999999999996</v>
      </c>
      <c r="N42" s="46">
        <v>0.621</v>
      </c>
      <c r="O42" s="46">
        <v>0.47899999999999998</v>
      </c>
      <c r="P42" s="46">
        <v>0.51600000000000001</v>
      </c>
      <c r="Q42" s="46">
        <v>0.67</v>
      </c>
      <c r="R42" s="46">
        <v>6.6</v>
      </c>
      <c r="S42" s="46">
        <v>2.8</v>
      </c>
      <c r="T42" s="46">
        <v>0.44400000000000001</v>
      </c>
      <c r="U42" s="46">
        <v>68</v>
      </c>
      <c r="V42" s="46">
        <v>153</v>
      </c>
      <c r="W42" s="46">
        <v>0.85</v>
      </c>
      <c r="X42" s="46">
        <v>3.9</v>
      </c>
      <c r="Y42" s="46">
        <v>9.6</v>
      </c>
      <c r="Z42" s="46">
        <v>1.74</v>
      </c>
      <c r="AA42" s="46">
        <v>4.3</v>
      </c>
      <c r="AB42" s="46">
        <v>0.55700000000000005</v>
      </c>
      <c r="AC42" s="46">
        <v>73</v>
      </c>
      <c r="AD42" s="46">
        <v>131</v>
      </c>
      <c r="AE42" s="46">
        <v>0.74</v>
      </c>
      <c r="AF42" s="46">
        <v>3.4</v>
      </c>
      <c r="AG42" s="46">
        <v>8.1999999999999993</v>
      </c>
      <c r="AH42" s="46">
        <v>1.49</v>
      </c>
      <c r="AI42" s="46">
        <v>3.6</v>
      </c>
      <c r="AJ42" s="46">
        <v>0.44600000000000001</v>
      </c>
      <c r="AK42" s="46">
        <v>0.437</v>
      </c>
      <c r="AL42" s="46">
        <v>1.7999999999999999E-2</v>
      </c>
      <c r="AM42" s="46">
        <v>3.1E-2</v>
      </c>
      <c r="AN42" s="46">
        <v>0.38300000000000001</v>
      </c>
      <c r="AO42" s="46">
        <v>0.55200000000000005</v>
      </c>
      <c r="AP42" s="46">
        <v>0.38</v>
      </c>
      <c r="AQ42" s="46">
        <v>6.7</v>
      </c>
      <c r="AR42" s="46">
        <v>3</v>
      </c>
      <c r="AS42" s="46">
        <v>71.5</v>
      </c>
      <c r="AT42" s="46">
        <v>116.9</v>
      </c>
      <c r="AU42" s="46">
        <v>1.06</v>
      </c>
      <c r="AV42" s="46">
        <v>2358</v>
      </c>
      <c r="AW42" s="46">
        <v>0.51100000000000001</v>
      </c>
      <c r="AX42" s="46">
        <v>1</v>
      </c>
      <c r="AY42" s="46">
        <v>36526</v>
      </c>
      <c r="AZ42" s="46">
        <v>1</v>
      </c>
      <c r="BA42" s="46">
        <v>2.5999999999999999E-2</v>
      </c>
      <c r="BB42" s="46">
        <v>39</v>
      </c>
      <c r="BC42" s="46" t="s">
        <v>293</v>
      </c>
      <c r="BD42" s="46">
        <v>0.61499999999999999</v>
      </c>
      <c r="BE42" s="46">
        <v>355</v>
      </c>
      <c r="BF42" s="46" t="s">
        <v>294</v>
      </c>
      <c r="BG42" s="46">
        <v>0.52400000000000002</v>
      </c>
      <c r="BH42" s="46">
        <v>8.3333000000000004E-2</v>
      </c>
      <c r="BI42" s="46">
        <v>49.1</v>
      </c>
      <c r="BJ42" s="46">
        <v>48.7</v>
      </c>
    </row>
    <row r="43" spans="1:62" x14ac:dyDescent="0.25">
      <c r="A43" s="46" t="s">
        <v>90</v>
      </c>
      <c r="B43" s="46">
        <v>44</v>
      </c>
      <c r="C43" s="46">
        <v>23</v>
      </c>
      <c r="D43" s="46">
        <v>21</v>
      </c>
      <c r="E43" s="52">
        <v>0.52300000000000002</v>
      </c>
      <c r="F43" s="46">
        <v>0.65400000000000003</v>
      </c>
      <c r="G43" s="46">
        <v>0.65400000000000003</v>
      </c>
      <c r="H43" s="46">
        <v>290</v>
      </c>
      <c r="I43" s="46">
        <v>8.5000000000000006E-2</v>
      </c>
      <c r="J43" s="46">
        <v>149</v>
      </c>
      <c r="K43" s="46">
        <v>4.3999999999999997E-2</v>
      </c>
      <c r="L43" s="46">
        <v>0.113</v>
      </c>
      <c r="M43" s="46">
        <v>0.61299999999999999</v>
      </c>
      <c r="N43" s="46">
        <v>0.74</v>
      </c>
      <c r="O43" s="46">
        <v>0.51900000000000002</v>
      </c>
      <c r="P43" s="46">
        <v>0.58499999999999996</v>
      </c>
      <c r="Q43" s="46">
        <v>0.81899999999999995</v>
      </c>
      <c r="R43" s="46">
        <v>6.3</v>
      </c>
      <c r="S43" s="46">
        <v>2.2000000000000002</v>
      </c>
      <c r="T43" s="46">
        <v>0.41499999999999998</v>
      </c>
      <c r="U43" s="46">
        <v>117</v>
      </c>
      <c r="V43" s="46">
        <v>282</v>
      </c>
      <c r="W43" s="46">
        <v>0.53</v>
      </c>
      <c r="X43" s="46">
        <v>2.5</v>
      </c>
      <c r="Y43" s="46">
        <v>6.4</v>
      </c>
      <c r="Z43" s="46">
        <v>1.04</v>
      </c>
      <c r="AA43" s="46">
        <v>2.7</v>
      </c>
      <c r="AB43" s="46">
        <v>0.65200000000000002</v>
      </c>
      <c r="AC43" s="46">
        <v>184</v>
      </c>
      <c r="AD43" s="46">
        <v>282</v>
      </c>
      <c r="AE43" s="46">
        <v>0.52</v>
      </c>
      <c r="AF43" s="46">
        <v>2.5</v>
      </c>
      <c r="AG43" s="46">
        <v>6.4</v>
      </c>
      <c r="AH43" s="46">
        <v>0.88</v>
      </c>
      <c r="AI43" s="46">
        <v>2.2000000000000002</v>
      </c>
      <c r="AJ43" s="46">
        <v>0.36899999999999999</v>
      </c>
      <c r="AK43" s="46">
        <v>0.374</v>
      </c>
      <c r="AL43" s="46">
        <v>7.9000000000000001E-2</v>
      </c>
      <c r="AM43" s="46">
        <v>0.04</v>
      </c>
      <c r="AN43" s="46">
        <v>0.28499999999999998</v>
      </c>
      <c r="AO43" s="46">
        <v>0.51</v>
      </c>
      <c r="AP43" s="46">
        <v>0.218</v>
      </c>
      <c r="AQ43" s="46">
        <v>6.3</v>
      </c>
      <c r="AR43" s="46">
        <v>2.2999999999999998</v>
      </c>
      <c r="AS43" s="46">
        <v>29</v>
      </c>
      <c r="AT43" s="46">
        <v>56.1</v>
      </c>
      <c r="AU43" s="46">
        <v>1.07</v>
      </c>
      <c r="AV43" s="46">
        <v>6818</v>
      </c>
      <c r="AW43" s="46">
        <v>0.51200000000000001</v>
      </c>
      <c r="AX43" s="46">
        <v>19</v>
      </c>
      <c r="AY43" s="46">
        <v>45545</v>
      </c>
      <c r="AZ43" s="46">
        <v>0.47399999999999998</v>
      </c>
      <c r="BA43" s="46">
        <v>0.17</v>
      </c>
      <c r="BB43" s="46">
        <v>112</v>
      </c>
      <c r="BC43" s="46" t="s">
        <v>295</v>
      </c>
      <c r="BD43" s="46">
        <v>0.54500000000000004</v>
      </c>
      <c r="BE43" s="46">
        <v>1078</v>
      </c>
      <c r="BF43" s="46" t="s">
        <v>296</v>
      </c>
      <c r="BG43" s="46">
        <v>0.51900000000000002</v>
      </c>
      <c r="BH43" s="46">
        <v>7.9167000000000001E-2</v>
      </c>
      <c r="BI43" s="46">
        <v>44.8</v>
      </c>
      <c r="BJ43" s="46">
        <v>44.2</v>
      </c>
    </row>
    <row r="44" spans="1:62" x14ac:dyDescent="0.25">
      <c r="A44" s="46" t="s">
        <v>91</v>
      </c>
      <c r="B44" s="46">
        <v>37</v>
      </c>
      <c r="C44" s="46">
        <v>22</v>
      </c>
      <c r="D44" s="46">
        <v>15</v>
      </c>
      <c r="E44" s="52">
        <v>0.59499999999999997</v>
      </c>
      <c r="F44" s="46">
        <v>0.66400000000000003</v>
      </c>
      <c r="G44" s="46">
        <v>0.64900000000000002</v>
      </c>
      <c r="H44" s="46">
        <v>300</v>
      </c>
      <c r="I44" s="46">
        <v>0.104</v>
      </c>
      <c r="J44" s="46">
        <v>94</v>
      </c>
      <c r="K44" s="46">
        <v>3.3000000000000002E-2</v>
      </c>
      <c r="L44" s="46">
        <v>8.1000000000000003E-2</v>
      </c>
      <c r="M44" s="46">
        <v>0.59399999999999997</v>
      </c>
      <c r="N44" s="46">
        <v>0.77700000000000002</v>
      </c>
      <c r="O44" s="46">
        <v>0.499</v>
      </c>
      <c r="P44" s="46">
        <v>0.54300000000000004</v>
      </c>
      <c r="Q44" s="46">
        <v>0.86</v>
      </c>
      <c r="R44" s="46">
        <v>6.3</v>
      </c>
      <c r="S44" s="46">
        <v>2.1</v>
      </c>
      <c r="T44" s="46">
        <v>0.50600000000000001</v>
      </c>
      <c r="U44" s="46">
        <v>126</v>
      </c>
      <c r="V44" s="46">
        <v>249</v>
      </c>
      <c r="W44" s="46">
        <v>0.54</v>
      </c>
      <c r="X44" s="46">
        <v>2.5</v>
      </c>
      <c r="Y44" s="46">
        <v>6.7</v>
      </c>
      <c r="Z44" s="46">
        <v>1.29</v>
      </c>
      <c r="AA44" s="46">
        <v>3.4</v>
      </c>
      <c r="AB44" s="46">
        <v>0.67700000000000005</v>
      </c>
      <c r="AC44" s="46">
        <v>134</v>
      </c>
      <c r="AD44" s="46">
        <v>198</v>
      </c>
      <c r="AE44" s="46">
        <v>0.43</v>
      </c>
      <c r="AF44" s="46">
        <v>2</v>
      </c>
      <c r="AG44" s="46">
        <v>5.4</v>
      </c>
      <c r="AH44" s="46">
        <v>0.65</v>
      </c>
      <c r="AI44" s="46">
        <v>1.7</v>
      </c>
      <c r="AJ44" s="46">
        <v>0.38400000000000001</v>
      </c>
      <c r="AK44" s="46">
        <v>0.39500000000000002</v>
      </c>
      <c r="AL44" s="46">
        <v>7.3999999999999996E-2</v>
      </c>
      <c r="AM44" s="46">
        <v>0.03</v>
      </c>
      <c r="AN44" s="46">
        <v>0.3</v>
      </c>
      <c r="AO44" s="46">
        <v>0.52700000000000002</v>
      </c>
      <c r="AP44" s="46">
        <v>0.27300000000000002</v>
      </c>
      <c r="AQ44" s="46">
        <v>6.3</v>
      </c>
      <c r="AR44" s="46">
        <v>2.4</v>
      </c>
      <c r="AS44" s="46">
        <v>36</v>
      </c>
      <c r="AT44" s="46">
        <v>56.7</v>
      </c>
      <c r="AU44" s="46">
        <v>1.1399999999999999</v>
      </c>
      <c r="AV44" s="46">
        <v>5759</v>
      </c>
      <c r="AW44" s="46">
        <v>0.52400000000000002</v>
      </c>
      <c r="AX44" s="46">
        <v>16</v>
      </c>
      <c r="AY44" s="46">
        <v>45394</v>
      </c>
      <c r="AZ44" s="46">
        <v>0.25</v>
      </c>
      <c r="BA44" s="46">
        <v>0.16300000000000001</v>
      </c>
      <c r="BB44" s="46">
        <v>98</v>
      </c>
      <c r="BC44" s="46" t="s">
        <v>297</v>
      </c>
      <c r="BD44" s="46">
        <v>0.61199999999999999</v>
      </c>
      <c r="BE44" s="46">
        <v>919</v>
      </c>
      <c r="BF44" s="46" t="s">
        <v>298</v>
      </c>
      <c r="BG44" s="46">
        <v>0.56599999999999995</v>
      </c>
      <c r="BH44" s="46">
        <v>7.8472E-2</v>
      </c>
      <c r="BI44" s="46">
        <v>42.7</v>
      </c>
      <c r="BJ44" s="46">
        <v>43.6</v>
      </c>
    </row>
    <row r="45" spans="1:62" x14ac:dyDescent="0.25">
      <c r="A45" s="46" t="s">
        <v>92</v>
      </c>
      <c r="B45" s="46">
        <v>40</v>
      </c>
      <c r="C45" s="46">
        <v>19</v>
      </c>
      <c r="D45" s="46">
        <v>21</v>
      </c>
      <c r="E45" s="52">
        <v>0.47499999999999998</v>
      </c>
      <c r="F45" s="46">
        <v>0.67800000000000005</v>
      </c>
      <c r="G45" s="46">
        <v>0.65400000000000003</v>
      </c>
      <c r="H45" s="46">
        <v>465</v>
      </c>
      <c r="I45" s="46">
        <v>0.13100000000000001</v>
      </c>
      <c r="J45" s="46">
        <v>118</v>
      </c>
      <c r="K45" s="46">
        <v>3.3000000000000002E-2</v>
      </c>
      <c r="L45" s="46">
        <v>0.11</v>
      </c>
      <c r="M45" s="46">
        <v>0.69799999999999995</v>
      </c>
      <c r="N45" s="46">
        <v>0.74399999999999999</v>
      </c>
      <c r="O45" s="46">
        <v>0.52500000000000002</v>
      </c>
      <c r="P45" s="46">
        <v>0.59</v>
      </c>
      <c r="Q45" s="46">
        <v>0.872</v>
      </c>
      <c r="R45" s="46">
        <v>6.2</v>
      </c>
      <c r="S45" s="46">
        <v>2</v>
      </c>
      <c r="T45" s="46">
        <v>0.33500000000000002</v>
      </c>
      <c r="U45" s="46">
        <v>64</v>
      </c>
      <c r="V45" s="46">
        <v>191</v>
      </c>
      <c r="W45" s="46">
        <v>0.34</v>
      </c>
      <c r="X45" s="46">
        <v>1.7</v>
      </c>
      <c r="Y45" s="46">
        <v>4.8</v>
      </c>
      <c r="Z45" s="46">
        <v>0.57999999999999996</v>
      </c>
      <c r="AA45" s="46">
        <v>1.6</v>
      </c>
      <c r="AB45" s="46">
        <v>0.65400000000000003</v>
      </c>
      <c r="AC45" s="46">
        <v>138</v>
      </c>
      <c r="AD45" s="46">
        <v>211</v>
      </c>
      <c r="AE45" s="46">
        <v>0.37</v>
      </c>
      <c r="AF45" s="46">
        <v>1.9</v>
      </c>
      <c r="AG45" s="46">
        <v>5.3</v>
      </c>
      <c r="AH45" s="46">
        <v>0.66</v>
      </c>
      <c r="AI45" s="46">
        <v>1.8</v>
      </c>
      <c r="AJ45" s="46">
        <v>0.29599999999999999</v>
      </c>
      <c r="AK45" s="46">
        <v>0.30299999999999999</v>
      </c>
      <c r="AL45" s="46">
        <v>0.10100000000000001</v>
      </c>
      <c r="AM45" s="46">
        <v>3.5000000000000003E-2</v>
      </c>
      <c r="AN45" s="46">
        <v>0.222</v>
      </c>
      <c r="AO45" s="46">
        <v>0.42799999999999999</v>
      </c>
      <c r="AP45" s="46">
        <v>0.114</v>
      </c>
      <c r="AQ45" s="46">
        <v>6</v>
      </c>
      <c r="AR45" s="46">
        <v>1.8</v>
      </c>
      <c r="AS45" s="46">
        <v>58.5</v>
      </c>
      <c r="AT45" s="46">
        <v>105.1</v>
      </c>
      <c r="AU45" s="46">
        <v>0.92</v>
      </c>
      <c r="AV45" s="46">
        <v>6916</v>
      </c>
      <c r="AW45" s="46">
        <v>0.49199999999999999</v>
      </c>
      <c r="AX45" s="46">
        <v>34</v>
      </c>
      <c r="AY45" s="46" t="s">
        <v>299</v>
      </c>
      <c r="AZ45" s="46">
        <v>0.5</v>
      </c>
      <c r="BA45" s="46">
        <v>0.30599999999999999</v>
      </c>
      <c r="BB45" s="46">
        <v>111</v>
      </c>
      <c r="BC45" s="46" t="s">
        <v>300</v>
      </c>
      <c r="BD45" s="46">
        <v>0.48599999999999999</v>
      </c>
      <c r="BE45" s="46">
        <v>1129</v>
      </c>
      <c r="BF45" s="46" t="s">
        <v>301</v>
      </c>
      <c r="BG45" s="46">
        <v>0.497</v>
      </c>
      <c r="BH45" s="46">
        <v>8.1250000000000003E-2</v>
      </c>
      <c r="BI45" s="46">
        <v>42.3</v>
      </c>
      <c r="BJ45" s="46">
        <v>40.700000000000003</v>
      </c>
    </row>
    <row r="46" spans="1:62" x14ac:dyDescent="0.25">
      <c r="A46" s="46" t="s">
        <v>93</v>
      </c>
      <c r="B46" s="46">
        <v>47</v>
      </c>
      <c r="C46" s="46">
        <v>22</v>
      </c>
      <c r="D46" s="46">
        <v>25</v>
      </c>
      <c r="E46" s="52">
        <v>0.46800000000000003</v>
      </c>
      <c r="F46" s="46">
        <v>0.625</v>
      </c>
      <c r="G46" s="46">
        <v>0.61299999999999999</v>
      </c>
      <c r="H46" s="46">
        <v>337</v>
      </c>
      <c r="I46" s="46">
        <v>8.6999999999999994E-2</v>
      </c>
      <c r="J46" s="46">
        <v>133</v>
      </c>
      <c r="K46" s="46">
        <v>3.4000000000000002E-2</v>
      </c>
      <c r="L46" s="46">
        <v>0.08</v>
      </c>
      <c r="M46" s="46">
        <v>0.57199999999999995</v>
      </c>
      <c r="N46" s="46">
        <v>0.73399999999999999</v>
      </c>
      <c r="O46" s="46">
        <v>0.48099999999999998</v>
      </c>
      <c r="P46" s="46">
        <v>0.52300000000000002</v>
      </c>
      <c r="Q46" s="46">
        <v>0.76400000000000001</v>
      </c>
      <c r="R46" s="46">
        <v>6.5</v>
      </c>
      <c r="S46" s="46">
        <v>2.4</v>
      </c>
      <c r="T46" s="46">
        <v>0.41399999999999998</v>
      </c>
      <c r="U46" s="46">
        <v>121</v>
      </c>
      <c r="V46" s="46">
        <v>292</v>
      </c>
      <c r="W46" s="46">
        <v>0.49</v>
      </c>
      <c r="X46" s="46">
        <v>2.2999999999999998</v>
      </c>
      <c r="Y46" s="46">
        <v>6.2</v>
      </c>
      <c r="Z46" s="46">
        <v>0.97</v>
      </c>
      <c r="AA46" s="46">
        <v>2.6</v>
      </c>
      <c r="AB46" s="46">
        <v>0.59499999999999997</v>
      </c>
      <c r="AC46" s="46">
        <v>207</v>
      </c>
      <c r="AD46" s="46">
        <v>348</v>
      </c>
      <c r="AE46" s="46">
        <v>0.57999999999999996</v>
      </c>
      <c r="AF46" s="46">
        <v>2.8</v>
      </c>
      <c r="AG46" s="46">
        <v>7.4</v>
      </c>
      <c r="AH46" s="46">
        <v>1.1299999999999999</v>
      </c>
      <c r="AI46" s="46">
        <v>3</v>
      </c>
      <c r="AJ46" s="46">
        <v>0.36</v>
      </c>
      <c r="AK46" s="46">
        <v>0.36199999999999999</v>
      </c>
      <c r="AL46" s="46">
        <v>6.5000000000000002E-2</v>
      </c>
      <c r="AM46" s="46">
        <v>3.3000000000000002E-2</v>
      </c>
      <c r="AN46" s="46">
        <v>0.28199999999999997</v>
      </c>
      <c r="AO46" s="46">
        <v>0.496</v>
      </c>
      <c r="AP46" s="46">
        <v>0.20100000000000001</v>
      </c>
      <c r="AQ46" s="46">
        <v>6.3</v>
      </c>
      <c r="AR46" s="46">
        <v>2.2999999999999998</v>
      </c>
      <c r="AS46" s="46">
        <v>57</v>
      </c>
      <c r="AT46" s="46">
        <v>97.4</v>
      </c>
      <c r="AU46" s="46">
        <v>0.96</v>
      </c>
      <c r="AV46" s="46">
        <v>7681</v>
      </c>
      <c r="AW46" s="46">
        <v>0.49399999999999999</v>
      </c>
      <c r="AX46" s="46">
        <v>25</v>
      </c>
      <c r="AY46" s="46" t="s">
        <v>96</v>
      </c>
      <c r="AZ46" s="46">
        <v>0.52</v>
      </c>
      <c r="BA46" s="46">
        <v>0.2</v>
      </c>
      <c r="BB46" s="46">
        <v>125</v>
      </c>
      <c r="BC46" s="46" t="s">
        <v>302</v>
      </c>
      <c r="BD46" s="46">
        <v>0.46400000000000002</v>
      </c>
      <c r="BE46" s="46">
        <v>1199</v>
      </c>
      <c r="BF46" s="46" t="s">
        <v>303</v>
      </c>
      <c r="BG46" s="46">
        <v>0.48199999999999998</v>
      </c>
      <c r="BH46" s="46">
        <v>7.9861000000000001E-2</v>
      </c>
      <c r="BI46" s="46">
        <v>43.2</v>
      </c>
      <c r="BJ46" s="46">
        <v>42.2</v>
      </c>
    </row>
    <row r="47" spans="1:62" x14ac:dyDescent="0.25">
      <c r="A47" s="46" t="s">
        <v>94</v>
      </c>
      <c r="B47" s="46">
        <v>42</v>
      </c>
      <c r="C47" s="46">
        <v>23</v>
      </c>
      <c r="D47" s="46">
        <v>19</v>
      </c>
      <c r="E47" s="52">
        <v>0.54800000000000004</v>
      </c>
      <c r="F47" s="46">
        <v>0.65800000000000003</v>
      </c>
      <c r="G47" s="46">
        <v>0.64200000000000002</v>
      </c>
      <c r="H47" s="46">
        <v>365</v>
      </c>
      <c r="I47" s="46">
        <v>0.10100000000000001</v>
      </c>
      <c r="J47" s="46">
        <v>117</v>
      </c>
      <c r="K47" s="46">
        <v>3.2000000000000001E-2</v>
      </c>
      <c r="L47" s="46">
        <v>8.5999999999999993E-2</v>
      </c>
      <c r="M47" s="46">
        <v>0.622</v>
      </c>
      <c r="N47" s="46">
        <v>0.74299999999999999</v>
      </c>
      <c r="O47" s="46">
        <v>0.51800000000000002</v>
      </c>
      <c r="P47" s="46">
        <v>0.56599999999999995</v>
      </c>
      <c r="Q47" s="46">
        <v>0.84299999999999997</v>
      </c>
      <c r="R47" s="46">
        <v>6.5</v>
      </c>
      <c r="S47" s="46">
        <v>2.2000000000000002</v>
      </c>
      <c r="T47" s="46">
        <v>0.32700000000000001</v>
      </c>
      <c r="U47" s="46">
        <v>101</v>
      </c>
      <c r="V47" s="46">
        <v>309</v>
      </c>
      <c r="W47" s="46">
        <v>0.56000000000000005</v>
      </c>
      <c r="X47" s="46">
        <v>2.8</v>
      </c>
      <c r="Y47" s="46">
        <v>7.4</v>
      </c>
      <c r="Z47" s="46">
        <v>0.92</v>
      </c>
      <c r="AA47" s="46">
        <v>2.4</v>
      </c>
      <c r="AB47" s="46">
        <v>0.67200000000000004</v>
      </c>
      <c r="AC47" s="46">
        <v>178</v>
      </c>
      <c r="AD47" s="46">
        <v>265</v>
      </c>
      <c r="AE47" s="46">
        <v>0.48</v>
      </c>
      <c r="AF47" s="46">
        <v>2.4</v>
      </c>
      <c r="AG47" s="46">
        <v>6.3</v>
      </c>
      <c r="AH47" s="46">
        <v>0.79</v>
      </c>
      <c r="AI47" s="46">
        <v>2.1</v>
      </c>
      <c r="AJ47" s="46">
        <v>0.34799999999999998</v>
      </c>
      <c r="AK47" s="46">
        <v>0.34899999999999998</v>
      </c>
      <c r="AL47" s="46">
        <v>7.6999999999999999E-2</v>
      </c>
      <c r="AM47" s="46">
        <v>0.04</v>
      </c>
      <c r="AN47" s="46">
        <v>0.27200000000000002</v>
      </c>
      <c r="AO47" s="46">
        <v>0.47299999999999998</v>
      </c>
      <c r="AP47" s="46">
        <v>0.182</v>
      </c>
      <c r="AQ47" s="46">
        <v>6.4</v>
      </c>
      <c r="AR47" s="46">
        <v>2.2000000000000002</v>
      </c>
      <c r="AS47" s="46">
        <v>57</v>
      </c>
      <c r="AT47" s="46">
        <v>72</v>
      </c>
      <c r="AU47" s="46">
        <v>1.02</v>
      </c>
      <c r="AV47" s="46">
        <v>7177</v>
      </c>
      <c r="AW47" s="46">
        <v>0.504</v>
      </c>
      <c r="AX47" s="46">
        <v>24</v>
      </c>
      <c r="AY47" s="46">
        <v>45609</v>
      </c>
      <c r="AZ47" s="46">
        <v>0.45800000000000002</v>
      </c>
      <c r="BA47" s="46">
        <v>0.218</v>
      </c>
      <c r="BB47" s="46">
        <v>110</v>
      </c>
      <c r="BC47" s="46" t="s">
        <v>304</v>
      </c>
      <c r="BD47" s="46">
        <v>0.52700000000000002</v>
      </c>
      <c r="BE47" s="46">
        <v>1110</v>
      </c>
      <c r="BF47" s="46" t="s">
        <v>305</v>
      </c>
      <c r="BG47" s="46">
        <v>0.51200000000000001</v>
      </c>
      <c r="BH47" s="46">
        <v>8.4722000000000006E-2</v>
      </c>
      <c r="BI47" s="46">
        <v>46.7</v>
      </c>
      <c r="BJ47" s="46">
        <v>43</v>
      </c>
    </row>
    <row r="48" spans="1:62" x14ac:dyDescent="0.25">
      <c r="A48" s="46" t="s">
        <v>95</v>
      </c>
      <c r="B48" s="46">
        <v>25</v>
      </c>
      <c r="C48" s="46">
        <v>13</v>
      </c>
      <c r="D48" s="46">
        <v>12</v>
      </c>
      <c r="E48" s="52">
        <v>0.52</v>
      </c>
      <c r="F48" s="46">
        <v>0.621</v>
      </c>
      <c r="G48" s="46">
        <v>0.63500000000000001</v>
      </c>
      <c r="H48" s="46">
        <v>62</v>
      </c>
      <c r="I48" s="46">
        <v>3.2000000000000001E-2</v>
      </c>
      <c r="J48" s="46">
        <v>80</v>
      </c>
      <c r="K48" s="46">
        <v>4.2000000000000003E-2</v>
      </c>
      <c r="L48" s="46">
        <v>0.115</v>
      </c>
      <c r="M48" s="46">
        <v>0.63600000000000001</v>
      </c>
      <c r="N48" s="46">
        <v>0.67700000000000005</v>
      </c>
      <c r="O48" s="46">
        <v>0.52200000000000002</v>
      </c>
      <c r="P48" s="46">
        <v>0.59</v>
      </c>
      <c r="Q48" s="46">
        <v>0.77400000000000002</v>
      </c>
      <c r="R48" s="46">
        <v>6.4</v>
      </c>
      <c r="S48" s="46">
        <v>2.4</v>
      </c>
      <c r="T48" s="46">
        <v>0.41899999999999998</v>
      </c>
      <c r="U48" s="46">
        <v>72</v>
      </c>
      <c r="V48" s="46">
        <v>172</v>
      </c>
      <c r="W48" s="46">
        <v>0.57999999999999996</v>
      </c>
      <c r="X48" s="46">
        <v>2.7</v>
      </c>
      <c r="Y48" s="46">
        <v>6.9</v>
      </c>
      <c r="Z48" s="46">
        <v>1.1299999999999999</v>
      </c>
      <c r="AA48" s="46">
        <v>2.9</v>
      </c>
      <c r="AB48" s="46">
        <v>0.622</v>
      </c>
      <c r="AC48" s="46">
        <v>112</v>
      </c>
      <c r="AD48" s="46">
        <v>180</v>
      </c>
      <c r="AE48" s="46">
        <v>0.6</v>
      </c>
      <c r="AF48" s="46">
        <v>2.8</v>
      </c>
      <c r="AG48" s="46">
        <v>7.2</v>
      </c>
      <c r="AH48" s="46">
        <v>1.06</v>
      </c>
      <c r="AI48" s="46">
        <v>2.7</v>
      </c>
      <c r="AJ48" s="46">
        <v>0.38200000000000001</v>
      </c>
      <c r="AK48" s="46">
        <v>0.375</v>
      </c>
      <c r="AL48" s="46">
        <v>4.2999999999999997E-2</v>
      </c>
      <c r="AM48" s="46">
        <v>3.5999999999999997E-2</v>
      </c>
      <c r="AN48" s="46">
        <v>0.307</v>
      </c>
      <c r="AO48" s="46">
        <v>0.51100000000000001</v>
      </c>
      <c r="AP48" s="46">
        <v>0.24199999999999999</v>
      </c>
      <c r="AQ48" s="46">
        <v>6.3</v>
      </c>
      <c r="AR48" s="46">
        <v>2.4</v>
      </c>
      <c r="AS48" s="46">
        <v>58</v>
      </c>
      <c r="AT48" s="46">
        <v>80.400000000000006</v>
      </c>
      <c r="AU48" s="46">
        <v>1.01</v>
      </c>
      <c r="AV48" s="46">
        <v>3792</v>
      </c>
      <c r="AW48" s="46">
        <v>0.502</v>
      </c>
      <c r="AX48" s="46">
        <v>9</v>
      </c>
      <c r="AY48" s="46">
        <v>45387</v>
      </c>
      <c r="AZ48" s="46">
        <v>0.44400000000000001</v>
      </c>
      <c r="BA48" s="46">
        <v>0.14099999999999999</v>
      </c>
      <c r="BB48" s="46">
        <v>64</v>
      </c>
      <c r="BC48" s="46" t="s">
        <v>306</v>
      </c>
      <c r="BD48" s="46">
        <v>0.51600000000000001</v>
      </c>
      <c r="BE48" s="46">
        <v>599</v>
      </c>
      <c r="BF48" s="46" t="s">
        <v>307</v>
      </c>
      <c r="BG48" s="46">
        <v>0.50900000000000001</v>
      </c>
      <c r="BH48" s="46">
        <v>8.5417000000000007E-2</v>
      </c>
      <c r="BI48" s="46">
        <v>48.1</v>
      </c>
      <c r="BJ48" s="46">
        <v>48.7</v>
      </c>
    </row>
    <row r="49" spans="1:62" x14ac:dyDescent="0.25">
      <c r="A49" s="46" t="s">
        <v>97</v>
      </c>
      <c r="B49" s="46">
        <v>25</v>
      </c>
      <c r="C49" s="46">
        <v>13</v>
      </c>
      <c r="D49" s="46">
        <v>12</v>
      </c>
      <c r="E49" s="52">
        <v>0.52</v>
      </c>
      <c r="F49" s="46">
        <v>0.65</v>
      </c>
      <c r="G49" s="46">
        <v>0.67</v>
      </c>
      <c r="H49" s="46">
        <v>177</v>
      </c>
      <c r="I49" s="46">
        <v>8.1000000000000003E-2</v>
      </c>
      <c r="J49" s="46">
        <v>150</v>
      </c>
      <c r="K49" s="46">
        <v>6.9000000000000006E-2</v>
      </c>
      <c r="L49" s="46">
        <v>0.16300000000000001</v>
      </c>
      <c r="M49" s="46">
        <v>0.57699999999999996</v>
      </c>
      <c r="N49" s="46">
        <v>0.75600000000000001</v>
      </c>
      <c r="O49" s="46">
        <v>0.505</v>
      </c>
      <c r="P49" s="46">
        <v>0.60399999999999998</v>
      </c>
      <c r="Q49" s="46">
        <v>0.81399999999999995</v>
      </c>
      <c r="R49" s="46">
        <v>6.4</v>
      </c>
      <c r="S49" s="46">
        <v>2.2000000000000002</v>
      </c>
      <c r="T49" s="46">
        <v>0.36899999999999999</v>
      </c>
      <c r="U49" s="46">
        <v>66</v>
      </c>
      <c r="V49" s="46">
        <v>179</v>
      </c>
      <c r="W49" s="46">
        <v>0.54</v>
      </c>
      <c r="X49" s="46">
        <v>2.6</v>
      </c>
      <c r="Y49" s="46">
        <v>7.2</v>
      </c>
      <c r="Z49" s="46">
        <v>0.97</v>
      </c>
      <c r="AA49" s="46">
        <v>2.6</v>
      </c>
      <c r="AB49" s="46">
        <v>0.61799999999999999</v>
      </c>
      <c r="AC49" s="46">
        <v>102</v>
      </c>
      <c r="AD49" s="46">
        <v>165</v>
      </c>
      <c r="AE49" s="46">
        <v>0.49</v>
      </c>
      <c r="AF49" s="46">
        <v>2.4</v>
      </c>
      <c r="AG49" s="46">
        <v>6.6</v>
      </c>
      <c r="AH49" s="46">
        <v>0.93</v>
      </c>
      <c r="AI49" s="46">
        <v>2.5</v>
      </c>
      <c r="AJ49" s="46">
        <v>0.35899999999999999</v>
      </c>
      <c r="AK49" s="46">
        <v>0.36899999999999999</v>
      </c>
      <c r="AL49" s="46">
        <v>8.7999999999999995E-2</v>
      </c>
      <c r="AM49" s="46">
        <v>3.5000000000000003E-2</v>
      </c>
      <c r="AN49" s="46">
        <v>0.28299999999999997</v>
      </c>
      <c r="AO49" s="46">
        <v>0.48599999999999999</v>
      </c>
      <c r="AP49" s="46">
        <v>0.19900000000000001</v>
      </c>
      <c r="AQ49" s="46">
        <v>6.5</v>
      </c>
      <c r="AR49" s="46">
        <v>2.2999999999999998</v>
      </c>
      <c r="AS49" s="46">
        <v>47</v>
      </c>
      <c r="AT49" s="46">
        <v>78.099999999999994</v>
      </c>
      <c r="AU49" s="46">
        <v>1.03</v>
      </c>
      <c r="AV49" s="46">
        <v>4318</v>
      </c>
      <c r="AW49" s="46">
        <v>0.50600000000000001</v>
      </c>
      <c r="AX49" s="46">
        <v>17</v>
      </c>
      <c r="AY49" s="46">
        <v>45543</v>
      </c>
      <c r="AZ49" s="46">
        <v>0.52900000000000003</v>
      </c>
      <c r="BA49" s="46">
        <v>0.25</v>
      </c>
      <c r="BB49" s="46">
        <v>68</v>
      </c>
      <c r="BC49" s="46" t="s">
        <v>308</v>
      </c>
      <c r="BD49" s="46">
        <v>0.52900000000000003</v>
      </c>
      <c r="BE49" s="46">
        <v>670</v>
      </c>
      <c r="BF49" s="46" t="s">
        <v>309</v>
      </c>
      <c r="BG49" s="46">
        <v>0.51</v>
      </c>
      <c r="BH49" s="46">
        <v>9.1666999999999998E-2</v>
      </c>
      <c r="BI49" s="46">
        <v>48.6</v>
      </c>
      <c r="BJ49" s="46">
        <v>46</v>
      </c>
    </row>
    <row r="50" spans="1:62" x14ac:dyDescent="0.25">
      <c r="A50" s="46" t="s">
        <v>98</v>
      </c>
      <c r="B50" s="46">
        <v>48</v>
      </c>
      <c r="C50" s="46">
        <v>23</v>
      </c>
      <c r="D50" s="46">
        <v>25</v>
      </c>
      <c r="E50" s="52">
        <v>0.47899999999999998</v>
      </c>
      <c r="F50" s="46">
        <v>0.63100000000000001</v>
      </c>
      <c r="G50" s="46">
        <v>0.61899999999999999</v>
      </c>
      <c r="H50" s="46">
        <v>316</v>
      </c>
      <c r="I50" s="46">
        <v>8.1000000000000003E-2</v>
      </c>
      <c r="J50" s="46">
        <v>121</v>
      </c>
      <c r="K50" s="46">
        <v>3.1E-2</v>
      </c>
      <c r="L50" s="46">
        <v>8.5000000000000006E-2</v>
      </c>
      <c r="M50" s="46">
        <v>0.63700000000000001</v>
      </c>
      <c r="N50" s="46">
        <v>0.70899999999999996</v>
      </c>
      <c r="O50" s="46">
        <v>0.49299999999999999</v>
      </c>
      <c r="P50" s="46">
        <v>0.53900000000000003</v>
      </c>
      <c r="Q50" s="46">
        <v>0.79</v>
      </c>
      <c r="R50" s="46">
        <v>6.4</v>
      </c>
      <c r="S50" s="46">
        <v>2.4</v>
      </c>
      <c r="T50" s="46">
        <v>0.41299999999999998</v>
      </c>
      <c r="U50" s="46">
        <v>128</v>
      </c>
      <c r="V50" s="46">
        <v>310</v>
      </c>
      <c r="W50" s="46">
        <v>0.5</v>
      </c>
      <c r="X50" s="46">
        <v>2.4</v>
      </c>
      <c r="Y50" s="46">
        <v>6.5</v>
      </c>
      <c r="Z50" s="46">
        <v>0.99</v>
      </c>
      <c r="AA50" s="46">
        <v>2.7</v>
      </c>
      <c r="AB50" s="46">
        <v>0.58899999999999997</v>
      </c>
      <c r="AC50" s="46">
        <v>185</v>
      </c>
      <c r="AD50" s="46">
        <v>314</v>
      </c>
      <c r="AE50" s="46">
        <v>0.51</v>
      </c>
      <c r="AF50" s="46">
        <v>2.4</v>
      </c>
      <c r="AG50" s="46">
        <v>6.5</v>
      </c>
      <c r="AH50" s="46">
        <v>1</v>
      </c>
      <c r="AI50" s="46">
        <v>2.7</v>
      </c>
      <c r="AJ50" s="46">
        <v>0.35099999999999998</v>
      </c>
      <c r="AK50" s="46">
        <v>0.36299999999999999</v>
      </c>
      <c r="AL50" s="46">
        <v>9.5000000000000001E-2</v>
      </c>
      <c r="AM50" s="46">
        <v>3.5000000000000003E-2</v>
      </c>
      <c r="AN50" s="46">
        <v>0.26400000000000001</v>
      </c>
      <c r="AO50" s="46">
        <v>0.502</v>
      </c>
      <c r="AP50" s="46">
        <v>0.20499999999999999</v>
      </c>
      <c r="AQ50" s="46">
        <v>6</v>
      </c>
      <c r="AR50" s="46">
        <v>2.1</v>
      </c>
      <c r="AS50" s="46">
        <v>56</v>
      </c>
      <c r="AT50" s="46">
        <v>110.4</v>
      </c>
      <c r="AU50" s="46">
        <v>0.95</v>
      </c>
      <c r="AV50" s="46">
        <v>7678</v>
      </c>
      <c r="AW50" s="46">
        <v>0.49299999999999999</v>
      </c>
      <c r="AX50" s="46">
        <v>19</v>
      </c>
      <c r="AY50" s="46">
        <v>45515</v>
      </c>
      <c r="AZ50" s="46">
        <v>0.42099999999999999</v>
      </c>
      <c r="BA50" s="46">
        <v>0.14699999999999999</v>
      </c>
      <c r="BB50" s="46">
        <v>129</v>
      </c>
      <c r="BC50" s="46" t="s">
        <v>310</v>
      </c>
      <c r="BD50" s="46">
        <v>0.48099999999999998</v>
      </c>
      <c r="BE50" s="46">
        <v>1238</v>
      </c>
      <c r="BF50" s="46" t="s">
        <v>311</v>
      </c>
      <c r="BG50" s="46">
        <v>0.495</v>
      </c>
      <c r="BH50" s="46">
        <v>7.9861000000000001E-2</v>
      </c>
      <c r="BI50" s="46">
        <v>42.7</v>
      </c>
      <c r="BJ50" s="46">
        <v>43.1</v>
      </c>
    </row>
    <row r="51" spans="1:62" x14ac:dyDescent="0.25">
      <c r="A51" s="46" t="s">
        <v>99</v>
      </c>
      <c r="B51" s="46">
        <v>25</v>
      </c>
      <c r="C51" s="46">
        <v>16</v>
      </c>
      <c r="D51" s="46">
        <v>9</v>
      </c>
      <c r="E51" s="52">
        <v>0.64</v>
      </c>
      <c r="F51" s="46">
        <v>0.65500000000000003</v>
      </c>
      <c r="G51" s="46">
        <v>0.64900000000000002</v>
      </c>
      <c r="H51" s="46">
        <v>134</v>
      </c>
      <c r="I51" s="46">
        <v>6.6000000000000003E-2</v>
      </c>
      <c r="J51" s="46">
        <v>53</v>
      </c>
      <c r="K51" s="46">
        <v>2.5999999999999999E-2</v>
      </c>
      <c r="L51" s="46">
        <v>7.0000000000000007E-2</v>
      </c>
      <c r="M51" s="46">
        <v>0.627</v>
      </c>
      <c r="N51" s="46">
        <v>0.73099999999999998</v>
      </c>
      <c r="O51" s="46">
        <v>0.52900000000000003</v>
      </c>
      <c r="P51" s="46">
        <v>0.56899999999999995</v>
      </c>
      <c r="Q51" s="46">
        <v>0.83199999999999996</v>
      </c>
      <c r="R51" s="46">
        <v>6.3</v>
      </c>
      <c r="S51" s="46">
        <v>2.2000000000000002</v>
      </c>
      <c r="T51" s="46">
        <v>0.40100000000000002</v>
      </c>
      <c r="U51" s="46">
        <v>75</v>
      </c>
      <c r="V51" s="46">
        <v>187</v>
      </c>
      <c r="W51" s="46">
        <v>0.57999999999999996</v>
      </c>
      <c r="X51" s="46">
        <v>2.9</v>
      </c>
      <c r="Y51" s="46">
        <v>7.5</v>
      </c>
      <c r="Z51" s="46">
        <v>1.17</v>
      </c>
      <c r="AA51" s="46">
        <v>3</v>
      </c>
      <c r="AB51" s="46">
        <v>0.65200000000000002</v>
      </c>
      <c r="AC51" s="46">
        <v>101</v>
      </c>
      <c r="AD51" s="46">
        <v>155</v>
      </c>
      <c r="AE51" s="46">
        <v>0.48</v>
      </c>
      <c r="AF51" s="46">
        <v>2.4</v>
      </c>
      <c r="AG51" s="46">
        <v>6.2</v>
      </c>
      <c r="AH51" s="46">
        <v>0.84</v>
      </c>
      <c r="AI51" s="46">
        <v>2.2000000000000002</v>
      </c>
      <c r="AJ51" s="46">
        <v>0.372</v>
      </c>
      <c r="AK51" s="46">
        <v>0.38400000000000001</v>
      </c>
      <c r="AL51" s="46">
        <v>7.3999999999999996E-2</v>
      </c>
      <c r="AM51" s="46">
        <v>2.5999999999999999E-2</v>
      </c>
      <c r="AN51" s="46">
        <v>0.29299999999999998</v>
      </c>
      <c r="AO51" s="46">
        <v>0.501</v>
      </c>
      <c r="AP51" s="46">
        <v>0.23300000000000001</v>
      </c>
      <c r="AQ51" s="46">
        <v>6.4</v>
      </c>
      <c r="AR51" s="46">
        <v>2.4</v>
      </c>
      <c r="AS51" s="46">
        <v>36.5</v>
      </c>
      <c r="AT51" s="46">
        <v>85.9</v>
      </c>
      <c r="AU51" s="46">
        <v>1.08</v>
      </c>
      <c r="AV51" s="46">
        <v>4068</v>
      </c>
      <c r="AW51" s="46">
        <v>0.51300000000000001</v>
      </c>
      <c r="AX51" s="46">
        <v>11</v>
      </c>
      <c r="AY51" s="46">
        <v>45418</v>
      </c>
      <c r="AZ51" s="46">
        <v>0.45500000000000002</v>
      </c>
      <c r="BA51" s="46">
        <v>0.17199999999999999</v>
      </c>
      <c r="BB51" s="46">
        <v>64</v>
      </c>
      <c r="BC51" s="46" t="s">
        <v>312</v>
      </c>
      <c r="BD51" s="46">
        <v>0.625</v>
      </c>
      <c r="BE51" s="46">
        <v>643</v>
      </c>
      <c r="BF51" s="46" t="s">
        <v>313</v>
      </c>
      <c r="BG51" s="46">
        <v>0.53200000000000003</v>
      </c>
      <c r="BH51" s="46">
        <v>7.2221999999999995E-2</v>
      </c>
      <c r="BI51" s="46">
        <v>40.5</v>
      </c>
      <c r="BJ51" s="46">
        <v>38.299999999999997</v>
      </c>
    </row>
    <row r="52" spans="1:62" x14ac:dyDescent="0.25">
      <c r="A52" s="46" t="s">
        <v>116</v>
      </c>
      <c r="B52" s="46">
        <v>49</v>
      </c>
      <c r="C52" s="46">
        <v>22</v>
      </c>
      <c r="D52" s="46">
        <v>27</v>
      </c>
      <c r="E52" s="52">
        <v>0.44900000000000001</v>
      </c>
      <c r="F52" s="46">
        <v>0.64500000000000002</v>
      </c>
      <c r="G52" s="46">
        <v>0.63300000000000001</v>
      </c>
      <c r="H52" s="46">
        <v>247</v>
      </c>
      <c r="I52" s="46">
        <v>6.7000000000000004E-2</v>
      </c>
      <c r="J52" s="46">
        <v>75</v>
      </c>
      <c r="K52" s="46">
        <v>0.02</v>
      </c>
      <c r="L52" s="46">
        <v>5.1999999999999998E-2</v>
      </c>
      <c r="M52" s="46">
        <v>0.61299999999999999</v>
      </c>
      <c r="N52" s="46">
        <v>0.73</v>
      </c>
      <c r="O52" s="46">
        <v>0.50900000000000001</v>
      </c>
      <c r="P52" s="46">
        <v>0.53700000000000003</v>
      </c>
      <c r="Q52" s="46">
        <v>0.8</v>
      </c>
      <c r="R52" s="46">
        <v>6.3</v>
      </c>
      <c r="S52" s="46">
        <v>2.2000000000000002</v>
      </c>
      <c r="T52" s="46">
        <v>0.38200000000000001</v>
      </c>
      <c r="U52" s="46">
        <v>128</v>
      </c>
      <c r="V52" s="46">
        <v>335</v>
      </c>
      <c r="W52" s="46">
        <v>0.55000000000000004</v>
      </c>
      <c r="X52" s="46">
        <v>2.7</v>
      </c>
      <c r="Y52" s="46">
        <v>6.8</v>
      </c>
      <c r="Z52" s="46">
        <v>1.02</v>
      </c>
      <c r="AA52" s="46">
        <v>2.6</v>
      </c>
      <c r="AB52" s="46">
        <v>0.58499999999999996</v>
      </c>
      <c r="AC52" s="46">
        <v>166</v>
      </c>
      <c r="AD52" s="46">
        <v>284</v>
      </c>
      <c r="AE52" s="46">
        <v>0.48</v>
      </c>
      <c r="AF52" s="46">
        <v>2.2999999999999998</v>
      </c>
      <c r="AG52" s="46">
        <v>5.8</v>
      </c>
      <c r="AH52" s="46">
        <v>0.94</v>
      </c>
      <c r="AI52" s="46">
        <v>2.4</v>
      </c>
      <c r="AJ52" s="46">
        <v>0.36599999999999999</v>
      </c>
      <c r="AK52" s="46">
        <v>0.371</v>
      </c>
      <c r="AL52" s="46">
        <v>8.4000000000000005E-2</v>
      </c>
      <c r="AM52" s="46">
        <v>4.1000000000000002E-2</v>
      </c>
      <c r="AN52" s="46">
        <v>0.28399999999999997</v>
      </c>
      <c r="AO52" s="46">
        <v>0.504</v>
      </c>
      <c r="AP52" s="46">
        <v>0.21199999999999999</v>
      </c>
      <c r="AQ52" s="46">
        <v>6.4</v>
      </c>
      <c r="AR52" s="46">
        <v>2.4</v>
      </c>
      <c r="AS52" s="46">
        <v>48</v>
      </c>
      <c r="AT52" s="46">
        <v>62.3</v>
      </c>
      <c r="AU52" s="46">
        <v>1.03</v>
      </c>
      <c r="AV52" s="46">
        <v>7613</v>
      </c>
      <c r="AW52" s="46">
        <v>0.502</v>
      </c>
      <c r="AX52" s="46">
        <v>23</v>
      </c>
      <c r="AY52" s="46">
        <v>45578</v>
      </c>
      <c r="AZ52" s="46">
        <v>0.435</v>
      </c>
      <c r="BA52" s="46">
        <v>0.184</v>
      </c>
      <c r="BB52" s="46">
        <v>125</v>
      </c>
      <c r="BC52" s="46" t="s">
        <v>333</v>
      </c>
      <c r="BD52" s="46">
        <v>0.496</v>
      </c>
      <c r="BE52" s="46">
        <v>1196</v>
      </c>
      <c r="BF52" s="46" t="s">
        <v>334</v>
      </c>
      <c r="BG52" s="46">
        <v>0.503</v>
      </c>
      <c r="BH52" s="46">
        <v>7.7082999999999999E-2</v>
      </c>
      <c r="BI52" s="46">
        <v>43.4</v>
      </c>
      <c r="BJ52" s="46">
        <v>42.8</v>
      </c>
    </row>
    <row r="53" spans="1:62" x14ac:dyDescent="0.25">
      <c r="A53" s="46" t="s">
        <v>117</v>
      </c>
      <c r="B53" s="46">
        <v>54</v>
      </c>
      <c r="C53" s="46">
        <v>25</v>
      </c>
      <c r="D53" s="46">
        <v>29</v>
      </c>
      <c r="E53" s="52">
        <v>0.46300000000000002</v>
      </c>
      <c r="F53" s="46">
        <v>0.65400000000000003</v>
      </c>
      <c r="G53" s="46">
        <v>0.64</v>
      </c>
      <c r="H53" s="46">
        <v>341</v>
      </c>
      <c r="I53" s="46">
        <v>7.9000000000000001E-2</v>
      </c>
      <c r="J53" s="46">
        <v>94</v>
      </c>
      <c r="K53" s="46">
        <v>2.1999999999999999E-2</v>
      </c>
      <c r="L53" s="46">
        <v>6.5000000000000002E-2</v>
      </c>
      <c r="M53" s="46">
        <v>0.66900000000000004</v>
      </c>
      <c r="N53" s="46">
        <v>0.71899999999999997</v>
      </c>
      <c r="O53" s="46">
        <v>0.52200000000000002</v>
      </c>
      <c r="P53" s="46">
        <v>0.55900000000000005</v>
      </c>
      <c r="Q53" s="46">
        <v>0.82299999999999995</v>
      </c>
      <c r="R53" s="46">
        <v>6.3</v>
      </c>
      <c r="S53" s="46">
        <v>2.2000000000000002</v>
      </c>
      <c r="T53" s="46">
        <v>0.37</v>
      </c>
      <c r="U53" s="46">
        <v>113</v>
      </c>
      <c r="V53" s="46">
        <v>305</v>
      </c>
      <c r="W53" s="46">
        <v>0.44</v>
      </c>
      <c r="X53" s="46">
        <v>2.1</v>
      </c>
      <c r="Y53" s="46">
        <v>5.6</v>
      </c>
      <c r="Z53" s="46">
        <v>0.8</v>
      </c>
      <c r="AA53" s="46">
        <v>2.1</v>
      </c>
      <c r="AB53" s="46">
        <v>0.64500000000000002</v>
      </c>
      <c r="AC53" s="46">
        <v>222</v>
      </c>
      <c r="AD53" s="46">
        <v>344</v>
      </c>
      <c r="AE53" s="46">
        <v>0.5</v>
      </c>
      <c r="AF53" s="46">
        <v>2.4</v>
      </c>
      <c r="AG53" s="46">
        <v>6.4</v>
      </c>
      <c r="AH53" s="46">
        <v>0.86</v>
      </c>
      <c r="AI53" s="46">
        <v>2.2999999999999998</v>
      </c>
      <c r="AJ53" s="46">
        <v>0.33900000000000002</v>
      </c>
      <c r="AK53" s="46">
        <v>0.33300000000000002</v>
      </c>
      <c r="AL53" s="46">
        <v>4.7E-2</v>
      </c>
      <c r="AM53" s="46">
        <v>3.3000000000000002E-2</v>
      </c>
      <c r="AN53" s="46">
        <v>0.27300000000000002</v>
      </c>
      <c r="AO53" s="46">
        <v>0.45</v>
      </c>
      <c r="AP53" s="46">
        <v>0.16400000000000001</v>
      </c>
      <c r="AQ53" s="46">
        <v>6.3</v>
      </c>
      <c r="AR53" s="46">
        <v>2.1</v>
      </c>
      <c r="AS53" s="46">
        <v>40</v>
      </c>
      <c r="AT53" s="46">
        <v>73.3</v>
      </c>
      <c r="AU53" s="46">
        <v>0.98</v>
      </c>
      <c r="AV53" s="46">
        <v>8688</v>
      </c>
      <c r="AW53" s="46">
        <v>0.497</v>
      </c>
      <c r="AX53" s="46">
        <v>26</v>
      </c>
      <c r="AY53" s="46">
        <v>45640</v>
      </c>
      <c r="AZ53" s="46">
        <v>0.46200000000000002</v>
      </c>
      <c r="BA53" s="46">
        <v>0.183</v>
      </c>
      <c r="BB53" s="46">
        <v>142</v>
      </c>
      <c r="BC53" s="46" t="s">
        <v>335</v>
      </c>
      <c r="BD53" s="46">
        <v>0.45800000000000002</v>
      </c>
      <c r="BE53" s="46">
        <v>1381</v>
      </c>
      <c r="BF53" s="46" t="s">
        <v>336</v>
      </c>
      <c r="BG53" s="46">
        <v>0.49299999999999999</v>
      </c>
      <c r="BH53" s="46">
        <v>8.4722000000000006E-2</v>
      </c>
      <c r="BI53" s="46">
        <v>46.5</v>
      </c>
      <c r="BJ53" s="46">
        <v>45.6</v>
      </c>
    </row>
    <row r="54" spans="1:62" x14ac:dyDescent="0.25">
      <c r="A54" s="46" t="s">
        <v>118</v>
      </c>
      <c r="B54" s="46">
        <v>44</v>
      </c>
      <c r="C54" s="46">
        <v>25</v>
      </c>
      <c r="D54" s="46">
        <v>19</v>
      </c>
      <c r="E54" s="52">
        <v>0.56799999999999995</v>
      </c>
      <c r="F54" s="46">
        <v>0.64</v>
      </c>
      <c r="G54" s="46">
        <v>0.64200000000000002</v>
      </c>
      <c r="H54" s="46">
        <v>205</v>
      </c>
      <c r="I54" s="46">
        <v>5.7000000000000002E-2</v>
      </c>
      <c r="J54" s="46">
        <v>127</v>
      </c>
      <c r="K54" s="46">
        <v>3.5000000000000003E-2</v>
      </c>
      <c r="L54" s="46">
        <v>8.7999999999999995E-2</v>
      </c>
      <c r="M54" s="46">
        <v>0.6</v>
      </c>
      <c r="N54" s="46">
        <v>0.71199999999999997</v>
      </c>
      <c r="O54" s="46">
        <v>0.53300000000000003</v>
      </c>
      <c r="P54" s="46">
        <v>0.58399999999999996</v>
      </c>
      <c r="Q54" s="46">
        <v>0.80900000000000005</v>
      </c>
      <c r="R54" s="46">
        <v>6.6</v>
      </c>
      <c r="S54" s="46">
        <v>2.4</v>
      </c>
      <c r="T54" s="46">
        <v>0.441</v>
      </c>
      <c r="U54" s="46">
        <v>126</v>
      </c>
      <c r="V54" s="46">
        <v>286</v>
      </c>
      <c r="W54" s="46">
        <v>0.51</v>
      </c>
      <c r="X54" s="46">
        <v>2.5</v>
      </c>
      <c r="Y54" s="46">
        <v>6.5</v>
      </c>
      <c r="Z54" s="46">
        <v>1.1000000000000001</v>
      </c>
      <c r="AA54" s="46">
        <v>2.9</v>
      </c>
      <c r="AB54" s="46">
        <v>0.63500000000000001</v>
      </c>
      <c r="AC54" s="46">
        <v>183</v>
      </c>
      <c r="AD54" s="46">
        <v>288</v>
      </c>
      <c r="AE54" s="46">
        <v>0.52</v>
      </c>
      <c r="AF54" s="46">
        <v>2.5</v>
      </c>
      <c r="AG54" s="46">
        <v>6.5</v>
      </c>
      <c r="AH54" s="46">
        <v>0.91</v>
      </c>
      <c r="AI54" s="46">
        <v>2.4</v>
      </c>
      <c r="AJ54" s="46">
        <v>0.376</v>
      </c>
      <c r="AK54" s="46">
        <v>0.36799999999999999</v>
      </c>
      <c r="AL54" s="46">
        <v>4.2000000000000003E-2</v>
      </c>
      <c r="AM54" s="46">
        <v>3.7999999999999999E-2</v>
      </c>
      <c r="AN54" s="46">
        <v>0.30399999999999999</v>
      </c>
      <c r="AO54" s="46">
        <v>0.49399999999999999</v>
      </c>
      <c r="AP54" s="46">
        <v>0.22600000000000001</v>
      </c>
      <c r="AQ54" s="46">
        <v>6.4</v>
      </c>
      <c r="AR54" s="46">
        <v>2.4</v>
      </c>
      <c r="AS54" s="46">
        <v>42.5</v>
      </c>
      <c r="AT54" s="46">
        <v>54.8</v>
      </c>
      <c r="AU54" s="46">
        <v>1.05</v>
      </c>
      <c r="AV54" s="46">
        <v>7171</v>
      </c>
      <c r="AW54" s="46">
        <v>0.50900000000000001</v>
      </c>
      <c r="AX54" s="46">
        <v>16</v>
      </c>
      <c r="AY54" s="46">
        <v>45512</v>
      </c>
      <c r="AZ54" s="46">
        <v>0.5</v>
      </c>
      <c r="BA54" s="46">
        <v>0.13900000000000001</v>
      </c>
      <c r="BB54" s="46">
        <v>115</v>
      </c>
      <c r="BC54" s="46" t="s">
        <v>337</v>
      </c>
      <c r="BD54" s="46">
        <v>0.54800000000000004</v>
      </c>
      <c r="BE54" s="46">
        <v>1106</v>
      </c>
      <c r="BF54" s="46" t="s">
        <v>338</v>
      </c>
      <c r="BG54" s="46">
        <v>0.51500000000000001</v>
      </c>
      <c r="BH54" s="46">
        <v>8.8193999999999995E-2</v>
      </c>
      <c r="BI54" s="46">
        <v>48.4</v>
      </c>
      <c r="BJ54" s="46">
        <v>46.6</v>
      </c>
    </row>
    <row r="55" spans="1:62" x14ac:dyDescent="0.25">
      <c r="A55" s="46" t="s">
        <v>119</v>
      </c>
      <c r="B55" s="46">
        <v>30</v>
      </c>
      <c r="C55" s="46">
        <v>15</v>
      </c>
      <c r="D55" s="46">
        <v>15</v>
      </c>
      <c r="E55" s="52">
        <v>0.5</v>
      </c>
      <c r="F55" s="46">
        <v>0.64</v>
      </c>
      <c r="G55" s="46">
        <v>0.63900000000000001</v>
      </c>
      <c r="H55" s="46">
        <v>152</v>
      </c>
      <c r="I55" s="46">
        <v>6.7000000000000004E-2</v>
      </c>
      <c r="J55" s="46">
        <v>82</v>
      </c>
      <c r="K55" s="46">
        <v>3.5999999999999997E-2</v>
      </c>
      <c r="L55" s="46">
        <v>9.7000000000000003E-2</v>
      </c>
      <c r="M55" s="46">
        <v>0.628</v>
      </c>
      <c r="N55" s="46">
        <v>0.70399999999999996</v>
      </c>
      <c r="O55" s="46">
        <v>0.53200000000000003</v>
      </c>
      <c r="P55" s="46">
        <v>0.58899999999999997</v>
      </c>
      <c r="Q55" s="46">
        <v>0.78800000000000003</v>
      </c>
      <c r="R55" s="46">
        <v>6.4</v>
      </c>
      <c r="S55" s="46">
        <v>2.2999999999999998</v>
      </c>
      <c r="T55" s="46">
        <v>0.38700000000000001</v>
      </c>
      <c r="U55" s="46">
        <v>77</v>
      </c>
      <c r="V55" s="46">
        <v>199</v>
      </c>
      <c r="W55" s="46">
        <v>0.55000000000000004</v>
      </c>
      <c r="X55" s="46">
        <v>2.7</v>
      </c>
      <c r="Y55" s="46">
        <v>6.6</v>
      </c>
      <c r="Z55" s="46">
        <v>1.04</v>
      </c>
      <c r="AA55" s="46">
        <v>2.6</v>
      </c>
      <c r="AB55" s="46">
        <v>0.627</v>
      </c>
      <c r="AC55" s="46">
        <v>128</v>
      </c>
      <c r="AD55" s="46">
        <v>204</v>
      </c>
      <c r="AE55" s="46">
        <v>0.56999999999999995</v>
      </c>
      <c r="AF55" s="46">
        <v>2.8</v>
      </c>
      <c r="AG55" s="46">
        <v>6.8</v>
      </c>
      <c r="AH55" s="46">
        <v>1.03</v>
      </c>
      <c r="AI55" s="46">
        <v>2.5</v>
      </c>
      <c r="AJ55" s="46">
        <v>0.36499999999999999</v>
      </c>
      <c r="AK55" s="46">
        <v>0.378</v>
      </c>
      <c r="AL55" s="46">
        <v>9.1999999999999998E-2</v>
      </c>
      <c r="AM55" s="46">
        <v>3.4000000000000002E-2</v>
      </c>
      <c r="AN55" s="46">
        <v>0.28599999999999998</v>
      </c>
      <c r="AO55" s="46">
        <v>0.495</v>
      </c>
      <c r="AP55" s="46">
        <v>0.21299999999999999</v>
      </c>
      <c r="AQ55" s="46">
        <v>6.5</v>
      </c>
      <c r="AR55" s="46">
        <v>2.4</v>
      </c>
      <c r="AS55" s="46">
        <v>51</v>
      </c>
      <c r="AT55" s="46">
        <v>78</v>
      </c>
      <c r="AU55" s="46">
        <v>1.01</v>
      </c>
      <c r="AV55" s="46">
        <v>4629</v>
      </c>
      <c r="AW55" s="46">
        <v>0.501</v>
      </c>
      <c r="AX55" s="46">
        <v>18</v>
      </c>
      <c r="AY55" s="46">
        <v>45514</v>
      </c>
      <c r="AZ55" s="46">
        <v>0.44400000000000001</v>
      </c>
      <c r="BA55" s="46">
        <v>0.24299999999999999</v>
      </c>
      <c r="BB55" s="46">
        <v>74</v>
      </c>
      <c r="BC55" s="46" t="s">
        <v>339</v>
      </c>
      <c r="BD55" s="46">
        <v>0.47299999999999998</v>
      </c>
      <c r="BE55" s="46">
        <v>720</v>
      </c>
      <c r="BF55" s="46" t="s">
        <v>340</v>
      </c>
      <c r="BG55" s="46">
        <v>0.499</v>
      </c>
      <c r="BH55" s="46">
        <v>7.7082999999999999E-2</v>
      </c>
      <c r="BI55" s="46">
        <v>45.1</v>
      </c>
      <c r="BJ55" s="46">
        <v>43.2</v>
      </c>
    </row>
    <row r="56" spans="1:62" x14ac:dyDescent="0.25">
      <c r="A56" s="46" t="s">
        <v>120</v>
      </c>
      <c r="B56" s="46">
        <v>16</v>
      </c>
      <c r="C56" s="46">
        <v>10</v>
      </c>
      <c r="D56" s="46">
        <v>6</v>
      </c>
      <c r="E56" s="52">
        <v>0.625</v>
      </c>
      <c r="F56" s="46">
        <v>0.61399999999999999</v>
      </c>
      <c r="G56" s="46">
        <v>0.63300000000000001</v>
      </c>
      <c r="H56" s="46">
        <v>29</v>
      </c>
      <c r="I56" s="46">
        <v>2.1999999999999999E-2</v>
      </c>
      <c r="J56" s="46">
        <v>58</v>
      </c>
      <c r="K56" s="46">
        <v>4.3999999999999997E-2</v>
      </c>
      <c r="L56" s="46">
        <v>0.13300000000000001</v>
      </c>
      <c r="M56" s="46">
        <v>0.66800000000000004</v>
      </c>
      <c r="N56" s="46">
        <v>0.67200000000000004</v>
      </c>
      <c r="O56" s="46">
        <v>0.497</v>
      </c>
      <c r="P56" s="46">
        <v>0.57299999999999995</v>
      </c>
      <c r="Q56" s="46">
        <v>0.753</v>
      </c>
      <c r="R56" s="46">
        <v>6.6</v>
      </c>
      <c r="S56" s="46">
        <v>2.6</v>
      </c>
      <c r="T56" s="46">
        <v>0.42199999999999999</v>
      </c>
      <c r="U56" s="46">
        <v>57</v>
      </c>
      <c r="V56" s="46">
        <v>135</v>
      </c>
      <c r="W56" s="46">
        <v>0.69</v>
      </c>
      <c r="X56" s="46">
        <v>3.3</v>
      </c>
      <c r="Y56" s="46">
        <v>8.4</v>
      </c>
      <c r="Z56" s="46">
        <v>1.39</v>
      </c>
      <c r="AA56" s="46">
        <v>3.6</v>
      </c>
      <c r="AB56" s="46">
        <v>0.58799999999999997</v>
      </c>
      <c r="AC56" s="46">
        <v>70</v>
      </c>
      <c r="AD56" s="46">
        <v>119</v>
      </c>
      <c r="AE56" s="46">
        <v>0.6</v>
      </c>
      <c r="AF56" s="46">
        <v>2.9</v>
      </c>
      <c r="AG56" s="46">
        <v>7.4</v>
      </c>
      <c r="AH56" s="46">
        <v>1.2</v>
      </c>
      <c r="AI56" s="46">
        <v>3.1</v>
      </c>
      <c r="AJ56" s="46">
        <v>0.41099999999999998</v>
      </c>
      <c r="AK56" s="46">
        <v>0.41699999999999998</v>
      </c>
      <c r="AL56" s="46">
        <v>7.2999999999999995E-2</v>
      </c>
      <c r="AM56" s="46">
        <v>4.1000000000000002E-2</v>
      </c>
      <c r="AN56" s="46">
        <v>0.32500000000000001</v>
      </c>
      <c r="AO56" s="46">
        <v>0.54700000000000004</v>
      </c>
      <c r="AP56" s="46">
        <v>0.29099999999999998</v>
      </c>
      <c r="AQ56" s="46">
        <v>6.7</v>
      </c>
      <c r="AR56" s="46">
        <v>2.8</v>
      </c>
      <c r="AS56" s="46">
        <v>53</v>
      </c>
      <c r="AT56" s="46">
        <v>85.5</v>
      </c>
      <c r="AU56" s="46">
        <v>1.06</v>
      </c>
      <c r="AV56" s="46">
        <v>2631</v>
      </c>
      <c r="AW56" s="46">
        <v>0.51200000000000001</v>
      </c>
      <c r="AX56" s="46">
        <v>7</v>
      </c>
      <c r="AY56" s="46">
        <v>45385</v>
      </c>
      <c r="AZ56" s="46">
        <v>0.57099999999999995</v>
      </c>
      <c r="BA56" s="46">
        <v>0.17100000000000001</v>
      </c>
      <c r="BB56" s="46">
        <v>41</v>
      </c>
      <c r="BC56" s="46" t="s">
        <v>341</v>
      </c>
      <c r="BD56" s="46">
        <v>0.56100000000000005</v>
      </c>
      <c r="BE56" s="46">
        <v>394</v>
      </c>
      <c r="BF56" s="46" t="s">
        <v>342</v>
      </c>
      <c r="BG56" s="46">
        <v>0.52300000000000002</v>
      </c>
      <c r="BH56" s="46">
        <v>9.4444E-2</v>
      </c>
      <c r="BI56" s="46">
        <v>53.2</v>
      </c>
      <c r="BJ56" s="46">
        <v>49.7</v>
      </c>
    </row>
    <row r="57" spans="1:62" x14ac:dyDescent="0.25">
      <c r="A57" s="46" t="s">
        <v>121</v>
      </c>
      <c r="B57" s="46">
        <v>37</v>
      </c>
      <c r="C57" s="46">
        <v>16</v>
      </c>
      <c r="D57" s="46">
        <v>21</v>
      </c>
      <c r="E57" s="52">
        <v>0.432</v>
      </c>
      <c r="F57" s="46">
        <v>0.627</v>
      </c>
      <c r="G57" s="46">
        <v>0.622</v>
      </c>
      <c r="H57" s="46">
        <v>181</v>
      </c>
      <c r="I57" s="46">
        <v>6.2E-2</v>
      </c>
      <c r="J57" s="46">
        <v>88</v>
      </c>
      <c r="K57" s="46">
        <v>0.03</v>
      </c>
      <c r="L57" s="46">
        <v>8.5000000000000006E-2</v>
      </c>
      <c r="M57" s="46">
        <v>0.64400000000000002</v>
      </c>
      <c r="N57" s="46">
        <v>0.70199999999999996</v>
      </c>
      <c r="O57" s="46">
        <v>0.49099999999999999</v>
      </c>
      <c r="P57" s="46">
        <v>0.53700000000000003</v>
      </c>
      <c r="Q57" s="46">
        <v>0.752</v>
      </c>
      <c r="R57" s="46">
        <v>6.5</v>
      </c>
      <c r="S57" s="46">
        <v>2.4</v>
      </c>
      <c r="T57" s="46">
        <v>0.375</v>
      </c>
      <c r="U57" s="46">
        <v>78</v>
      </c>
      <c r="V57" s="46">
        <v>208</v>
      </c>
      <c r="W57" s="46">
        <v>0.46</v>
      </c>
      <c r="X57" s="46">
        <v>2.2000000000000002</v>
      </c>
      <c r="Y57" s="46">
        <v>5.6</v>
      </c>
      <c r="Z57" s="46">
        <v>0.81</v>
      </c>
      <c r="AA57" s="46">
        <v>2.1</v>
      </c>
      <c r="AB57" s="46">
        <v>0.57499999999999996</v>
      </c>
      <c r="AC57" s="46">
        <v>150</v>
      </c>
      <c r="AD57" s="46">
        <v>261</v>
      </c>
      <c r="AE57" s="46">
        <v>0.57999999999999996</v>
      </c>
      <c r="AF57" s="46">
        <v>2.7</v>
      </c>
      <c r="AG57" s="46">
        <v>7.1</v>
      </c>
      <c r="AH57" s="46">
        <v>1.1599999999999999</v>
      </c>
      <c r="AI57" s="46">
        <v>3</v>
      </c>
      <c r="AJ57" s="46">
        <v>0.34799999999999998</v>
      </c>
      <c r="AK57" s="46">
        <v>0.35599999999999998</v>
      </c>
      <c r="AL57" s="46">
        <v>8.5999999999999993E-2</v>
      </c>
      <c r="AM57" s="46">
        <v>3.5000000000000003E-2</v>
      </c>
      <c r="AN57" s="46">
        <v>0.26700000000000002</v>
      </c>
      <c r="AO57" s="46">
        <v>0.49</v>
      </c>
      <c r="AP57" s="46">
        <v>0.17199999999999999</v>
      </c>
      <c r="AQ57" s="46">
        <v>6.5</v>
      </c>
      <c r="AR57" s="46">
        <v>2.2999999999999998</v>
      </c>
      <c r="AS57" s="46">
        <v>76</v>
      </c>
      <c r="AT57" s="46">
        <v>85.7</v>
      </c>
      <c r="AU57" s="46">
        <v>0.93</v>
      </c>
      <c r="AV57" s="46">
        <v>5835</v>
      </c>
      <c r="AW57" s="46">
        <v>0.48699999999999999</v>
      </c>
      <c r="AX57" s="46">
        <v>24</v>
      </c>
      <c r="AY57" s="46" t="s">
        <v>343</v>
      </c>
      <c r="AZ57" s="46">
        <v>0.58299999999999996</v>
      </c>
      <c r="BA57" s="46">
        <v>0.25</v>
      </c>
      <c r="BB57" s="46">
        <v>96</v>
      </c>
      <c r="BC57" s="46" t="s">
        <v>344</v>
      </c>
      <c r="BD57" s="46">
        <v>0.438</v>
      </c>
      <c r="BE57" s="46">
        <v>901</v>
      </c>
      <c r="BF57" s="46" t="s">
        <v>345</v>
      </c>
      <c r="BG57" s="46">
        <v>0.45900000000000002</v>
      </c>
      <c r="BH57" s="46">
        <v>7.5693999999999997E-2</v>
      </c>
      <c r="BI57" s="46">
        <v>42.2</v>
      </c>
      <c r="BJ57" s="46">
        <v>41.6</v>
      </c>
    </row>
    <row r="58" spans="1:62" x14ac:dyDescent="0.25">
      <c r="A58" s="46" t="s">
        <v>122</v>
      </c>
      <c r="B58" s="46">
        <v>31</v>
      </c>
      <c r="C58" s="46">
        <v>13</v>
      </c>
      <c r="D58" s="46">
        <v>18</v>
      </c>
      <c r="E58" s="52">
        <v>0.41899999999999998</v>
      </c>
      <c r="F58" s="46">
        <v>0.64</v>
      </c>
      <c r="G58" s="46">
        <v>0.63200000000000001</v>
      </c>
      <c r="H58" s="46">
        <v>172</v>
      </c>
      <c r="I58" s="46">
        <v>6.3E-2</v>
      </c>
      <c r="J58" s="46">
        <v>67</v>
      </c>
      <c r="K58" s="46">
        <v>2.4E-2</v>
      </c>
      <c r="L58" s="46">
        <v>6.0999999999999999E-2</v>
      </c>
      <c r="M58" s="46">
        <v>0.59799999999999998</v>
      </c>
      <c r="N58" s="46">
        <v>0.72899999999999998</v>
      </c>
      <c r="O58" s="46">
        <v>0.50700000000000001</v>
      </c>
      <c r="P58" s="46">
        <v>0.54</v>
      </c>
      <c r="Q58" s="46">
        <v>0.80600000000000005</v>
      </c>
      <c r="R58" s="46">
        <v>6.6</v>
      </c>
      <c r="S58" s="46">
        <v>2.4</v>
      </c>
      <c r="T58" s="46">
        <v>0.32500000000000001</v>
      </c>
      <c r="U58" s="46">
        <v>76</v>
      </c>
      <c r="V58" s="46">
        <v>234</v>
      </c>
      <c r="W58" s="46">
        <v>0.56000000000000005</v>
      </c>
      <c r="X58" s="46">
        <v>2.8</v>
      </c>
      <c r="Y58" s="46">
        <v>7.5</v>
      </c>
      <c r="Z58" s="46">
        <v>0.92</v>
      </c>
      <c r="AA58" s="46">
        <v>2.5</v>
      </c>
      <c r="AB58" s="46">
        <v>0.61799999999999999</v>
      </c>
      <c r="AC58" s="46">
        <v>131</v>
      </c>
      <c r="AD58" s="46">
        <v>212</v>
      </c>
      <c r="AE58" s="46">
        <v>0.51</v>
      </c>
      <c r="AF58" s="46">
        <v>2.6</v>
      </c>
      <c r="AG58" s="46">
        <v>6.8</v>
      </c>
      <c r="AH58" s="46">
        <v>0.98</v>
      </c>
      <c r="AI58" s="46">
        <v>2.6</v>
      </c>
      <c r="AJ58" s="46">
        <v>0.36499999999999999</v>
      </c>
      <c r="AK58" s="46">
        <v>0.378</v>
      </c>
      <c r="AL58" s="46">
        <v>7.4999999999999997E-2</v>
      </c>
      <c r="AM58" s="46">
        <v>2.5000000000000001E-2</v>
      </c>
      <c r="AN58" s="46">
        <v>0.28499999999999998</v>
      </c>
      <c r="AO58" s="46">
        <v>0.5</v>
      </c>
      <c r="AP58" s="46">
        <v>0.183</v>
      </c>
      <c r="AQ58" s="46">
        <v>6.8</v>
      </c>
      <c r="AR58" s="46">
        <v>2.5</v>
      </c>
      <c r="AS58" s="46">
        <v>55.5</v>
      </c>
      <c r="AT58" s="46">
        <v>83.1</v>
      </c>
      <c r="AU58" s="46">
        <v>1.01</v>
      </c>
      <c r="AV58" s="46">
        <v>5589</v>
      </c>
      <c r="AW58" s="46">
        <v>0.5</v>
      </c>
      <c r="AX58" s="46">
        <v>20</v>
      </c>
      <c r="AY58" s="46">
        <v>45575</v>
      </c>
      <c r="AZ58" s="46">
        <v>0.5</v>
      </c>
      <c r="BA58" s="46">
        <v>0.24099999999999999</v>
      </c>
      <c r="BB58" s="46">
        <v>83</v>
      </c>
      <c r="BC58" s="46" t="s">
        <v>346</v>
      </c>
      <c r="BD58" s="46">
        <v>0.48199999999999998</v>
      </c>
      <c r="BE58" s="46">
        <v>834</v>
      </c>
      <c r="BF58" s="46" t="s">
        <v>347</v>
      </c>
      <c r="BG58" s="46">
        <v>0.495</v>
      </c>
      <c r="BH58" s="46">
        <v>0.1</v>
      </c>
      <c r="BI58" s="46">
        <v>53.9</v>
      </c>
      <c r="BJ58" s="46">
        <v>48</v>
      </c>
    </row>
    <row r="59" spans="1:62" x14ac:dyDescent="0.25">
      <c r="A59" s="46" t="s">
        <v>123</v>
      </c>
      <c r="B59" s="46">
        <v>50</v>
      </c>
      <c r="C59" s="46">
        <v>23</v>
      </c>
      <c r="D59" s="46">
        <v>27</v>
      </c>
      <c r="E59" s="52">
        <v>0.46</v>
      </c>
      <c r="F59" s="46">
        <v>0.61599999999999999</v>
      </c>
      <c r="G59" s="46">
        <v>0.61</v>
      </c>
      <c r="H59" s="46">
        <v>226</v>
      </c>
      <c r="I59" s="46">
        <v>5.7000000000000002E-2</v>
      </c>
      <c r="J59" s="46">
        <v>102</v>
      </c>
      <c r="K59" s="46">
        <v>2.5999999999999999E-2</v>
      </c>
      <c r="L59" s="46">
        <v>7.6999999999999999E-2</v>
      </c>
      <c r="M59" s="46">
        <v>0.66400000000000003</v>
      </c>
      <c r="N59" s="46">
        <v>0.66300000000000003</v>
      </c>
      <c r="O59" s="46">
        <v>0.52300000000000002</v>
      </c>
      <c r="P59" s="46">
        <v>0.56599999999999995</v>
      </c>
      <c r="Q59" s="46">
        <v>0.755</v>
      </c>
      <c r="R59" s="46">
        <v>6.5</v>
      </c>
      <c r="S59" s="46">
        <v>2.5</v>
      </c>
      <c r="T59" s="46">
        <v>0.379</v>
      </c>
      <c r="U59" s="46">
        <v>124</v>
      </c>
      <c r="V59" s="46">
        <v>327</v>
      </c>
      <c r="W59" s="46">
        <v>0.53</v>
      </c>
      <c r="X59" s="46">
        <v>2.5</v>
      </c>
      <c r="Y59" s="46">
        <v>6.5</v>
      </c>
      <c r="Z59" s="46">
        <v>0.95</v>
      </c>
      <c r="AA59" s="46">
        <v>2.5</v>
      </c>
      <c r="AB59" s="46">
        <v>0.58199999999999996</v>
      </c>
      <c r="AC59" s="46">
        <v>209</v>
      </c>
      <c r="AD59" s="46">
        <v>359</v>
      </c>
      <c r="AE59" s="46">
        <v>0.59</v>
      </c>
      <c r="AF59" s="46">
        <v>2.8</v>
      </c>
      <c r="AG59" s="46">
        <v>7.2</v>
      </c>
      <c r="AH59" s="46">
        <v>1.1499999999999999</v>
      </c>
      <c r="AI59" s="46">
        <v>3</v>
      </c>
      <c r="AJ59" s="46">
        <v>0.36599999999999999</v>
      </c>
      <c r="AK59" s="46">
        <v>0.377</v>
      </c>
      <c r="AL59" s="46">
        <v>8.2000000000000003E-2</v>
      </c>
      <c r="AM59" s="46">
        <v>3.3000000000000002E-2</v>
      </c>
      <c r="AN59" s="46">
        <v>0.29399999999999998</v>
      </c>
      <c r="AO59" s="46">
        <v>0.48499999999999999</v>
      </c>
      <c r="AP59" s="46">
        <v>0.20100000000000001</v>
      </c>
      <c r="AQ59" s="46">
        <v>6.4</v>
      </c>
      <c r="AR59" s="46">
        <v>2.4</v>
      </c>
      <c r="AS59" s="46">
        <v>59.5</v>
      </c>
      <c r="AT59" s="46">
        <v>93.1</v>
      </c>
      <c r="AU59" s="46">
        <v>0.95</v>
      </c>
      <c r="AV59" s="46">
        <v>7917</v>
      </c>
      <c r="AW59" s="46">
        <v>0.49099999999999999</v>
      </c>
      <c r="AX59" s="46">
        <v>18</v>
      </c>
      <c r="AY59" s="46">
        <v>45396</v>
      </c>
      <c r="AZ59" s="46">
        <v>0.222</v>
      </c>
      <c r="BA59" s="46">
        <v>0.13800000000000001</v>
      </c>
      <c r="BB59" s="46">
        <v>130</v>
      </c>
      <c r="BC59" s="46" t="s">
        <v>348</v>
      </c>
      <c r="BD59" s="46">
        <v>0.42299999999999999</v>
      </c>
      <c r="BE59" s="46">
        <v>1229</v>
      </c>
      <c r="BF59" s="46" t="s">
        <v>349</v>
      </c>
      <c r="BG59" s="46">
        <v>0.47699999999999998</v>
      </c>
      <c r="BH59" s="46">
        <v>8.1944000000000003E-2</v>
      </c>
      <c r="BI59" s="46">
        <v>45.5</v>
      </c>
      <c r="BJ59" s="46">
        <v>44.9</v>
      </c>
    </row>
    <row r="60" spans="1:62" x14ac:dyDescent="0.25">
      <c r="A60" s="46" t="s">
        <v>124</v>
      </c>
      <c r="B60" s="46">
        <v>48</v>
      </c>
      <c r="C60" s="46">
        <v>22</v>
      </c>
      <c r="D60" s="46">
        <v>26</v>
      </c>
      <c r="E60" s="52">
        <v>0.45800000000000002</v>
      </c>
      <c r="F60" s="46">
        <v>0.60799999999999998</v>
      </c>
      <c r="G60" s="46">
        <v>0.60299999999999998</v>
      </c>
      <c r="H60" s="46">
        <v>248</v>
      </c>
      <c r="I60" s="46">
        <v>6.3E-2</v>
      </c>
      <c r="J60" s="46">
        <v>130</v>
      </c>
      <c r="K60" s="46">
        <v>3.3000000000000002E-2</v>
      </c>
      <c r="L60" s="46">
        <v>8.1000000000000003E-2</v>
      </c>
      <c r="M60" s="46">
        <v>0.59799999999999998</v>
      </c>
      <c r="N60" s="46">
        <v>0.69299999999999995</v>
      </c>
      <c r="O60" s="46">
        <v>0.48199999999999998</v>
      </c>
      <c r="P60" s="46">
        <v>0.52500000000000002</v>
      </c>
      <c r="Q60" s="46">
        <v>0.746</v>
      </c>
      <c r="R60" s="46">
        <v>6.6</v>
      </c>
      <c r="S60" s="46">
        <v>2.6</v>
      </c>
      <c r="T60" s="46">
        <v>0.38100000000000001</v>
      </c>
      <c r="U60" s="46">
        <v>110</v>
      </c>
      <c r="V60" s="46">
        <v>289</v>
      </c>
      <c r="W60" s="46">
        <v>0.48</v>
      </c>
      <c r="X60" s="46">
        <v>2.2999999999999998</v>
      </c>
      <c r="Y60" s="46">
        <v>6</v>
      </c>
      <c r="Z60" s="46">
        <v>0.88</v>
      </c>
      <c r="AA60" s="46">
        <v>2.2999999999999998</v>
      </c>
      <c r="AB60" s="46">
        <v>0.59</v>
      </c>
      <c r="AC60" s="46">
        <v>220</v>
      </c>
      <c r="AD60" s="46">
        <v>373</v>
      </c>
      <c r="AE60" s="46">
        <v>0.62</v>
      </c>
      <c r="AF60" s="46">
        <v>3</v>
      </c>
      <c r="AG60" s="46">
        <v>7.8</v>
      </c>
      <c r="AH60" s="46">
        <v>1.22</v>
      </c>
      <c r="AI60" s="46">
        <v>3.2</v>
      </c>
      <c r="AJ60" s="46">
        <v>0.35199999999999998</v>
      </c>
      <c r="AK60" s="46">
        <v>0.36299999999999999</v>
      </c>
      <c r="AL60" s="46">
        <v>8.2000000000000003E-2</v>
      </c>
      <c r="AM60" s="46">
        <v>0.03</v>
      </c>
      <c r="AN60" s="46">
        <v>0.27100000000000002</v>
      </c>
      <c r="AO60" s="46">
        <v>0.48699999999999999</v>
      </c>
      <c r="AP60" s="46">
        <v>0.182</v>
      </c>
      <c r="AQ60" s="46">
        <v>6.3</v>
      </c>
      <c r="AR60" s="46">
        <v>2.2000000000000002</v>
      </c>
      <c r="AS60" s="46">
        <v>48</v>
      </c>
      <c r="AT60" s="46">
        <v>77</v>
      </c>
      <c r="AU60" s="46">
        <v>0.9</v>
      </c>
      <c r="AV60" s="46">
        <v>7765</v>
      </c>
      <c r="AW60" s="46">
        <v>0.48299999999999998</v>
      </c>
      <c r="AX60" s="46">
        <v>22</v>
      </c>
      <c r="AY60" s="46" t="s">
        <v>350</v>
      </c>
      <c r="AZ60" s="46">
        <v>0.68200000000000005</v>
      </c>
      <c r="BA60" s="46">
        <v>0.17599999999999999</v>
      </c>
      <c r="BB60" s="46">
        <v>125</v>
      </c>
      <c r="BC60" s="46" t="s">
        <v>351</v>
      </c>
      <c r="BD60" s="46">
        <v>0.45600000000000002</v>
      </c>
      <c r="BE60" s="46">
        <v>1206</v>
      </c>
      <c r="BF60" s="46" t="s">
        <v>352</v>
      </c>
      <c r="BG60" s="46">
        <v>0.46400000000000002</v>
      </c>
      <c r="BH60" s="46">
        <v>7.6388999999999999E-2</v>
      </c>
      <c r="BI60" s="46">
        <v>42.3</v>
      </c>
      <c r="BJ60" s="46">
        <v>40.799999999999997</v>
      </c>
    </row>
    <row r="61" spans="1:62" x14ac:dyDescent="0.25">
      <c r="A61" s="46" t="s">
        <v>125</v>
      </c>
      <c r="B61" s="46">
        <v>16</v>
      </c>
      <c r="C61" s="46">
        <v>11</v>
      </c>
      <c r="D61" s="46">
        <v>5</v>
      </c>
      <c r="E61" s="52">
        <v>0.68799999999999994</v>
      </c>
      <c r="F61" s="46">
        <v>0.63300000000000001</v>
      </c>
      <c r="G61" s="46">
        <v>0.622</v>
      </c>
      <c r="H61" s="46">
        <v>82</v>
      </c>
      <c r="I61" s="46">
        <v>6.7000000000000004E-2</v>
      </c>
      <c r="J61" s="46">
        <v>29</v>
      </c>
      <c r="K61" s="46">
        <v>2.4E-2</v>
      </c>
      <c r="L61" s="46">
        <v>5.5E-2</v>
      </c>
      <c r="M61" s="46">
        <v>0.57399999999999995</v>
      </c>
      <c r="N61" s="46">
        <v>0.70499999999999996</v>
      </c>
      <c r="O61" s="46">
        <v>0.53500000000000003</v>
      </c>
      <c r="P61" s="46">
        <v>0.56699999999999995</v>
      </c>
      <c r="Q61" s="46">
        <v>0.8</v>
      </c>
      <c r="R61" s="46">
        <v>6.6</v>
      </c>
      <c r="S61" s="46">
        <v>2.4</v>
      </c>
      <c r="T61" s="46">
        <v>0.433</v>
      </c>
      <c r="U61" s="46">
        <v>45</v>
      </c>
      <c r="V61" s="46">
        <v>104</v>
      </c>
      <c r="W61" s="46">
        <v>0.59</v>
      </c>
      <c r="X61" s="46">
        <v>2.7</v>
      </c>
      <c r="Y61" s="46">
        <v>6.5</v>
      </c>
      <c r="Z61" s="46">
        <v>1.1499999999999999</v>
      </c>
      <c r="AA61" s="46">
        <v>2.8</v>
      </c>
      <c r="AB61" s="46">
        <v>0.63700000000000001</v>
      </c>
      <c r="AC61" s="46">
        <v>65</v>
      </c>
      <c r="AD61" s="46">
        <v>102</v>
      </c>
      <c r="AE61" s="46">
        <v>0.55000000000000004</v>
      </c>
      <c r="AF61" s="46">
        <v>2.6</v>
      </c>
      <c r="AG61" s="46">
        <v>6.4</v>
      </c>
      <c r="AH61" s="46">
        <v>0.95</v>
      </c>
      <c r="AI61" s="46">
        <v>2.2999999999999998</v>
      </c>
      <c r="AJ61" s="46">
        <v>0.39200000000000002</v>
      </c>
      <c r="AK61" s="46">
        <v>0.39700000000000002</v>
      </c>
      <c r="AL61" s="46">
        <v>6.6000000000000003E-2</v>
      </c>
      <c r="AM61" s="46">
        <v>3.5000000000000003E-2</v>
      </c>
      <c r="AN61" s="46">
        <v>0.32400000000000001</v>
      </c>
      <c r="AO61" s="46">
        <v>0.51300000000000001</v>
      </c>
      <c r="AP61" s="46">
        <v>0.254</v>
      </c>
      <c r="AQ61" s="46">
        <v>6.5</v>
      </c>
      <c r="AR61" s="46">
        <v>2.6</v>
      </c>
      <c r="AS61" s="46">
        <v>55.5</v>
      </c>
      <c r="AT61" s="46">
        <v>86.1</v>
      </c>
      <c r="AU61" s="46">
        <v>1.07</v>
      </c>
      <c r="AV61" s="46">
        <v>2386</v>
      </c>
      <c r="AW61" s="46">
        <v>0.51600000000000001</v>
      </c>
      <c r="AX61" s="46">
        <v>8</v>
      </c>
      <c r="AY61" s="46">
        <v>45445</v>
      </c>
      <c r="AZ61" s="46">
        <v>0.75</v>
      </c>
      <c r="BA61" s="46">
        <v>0.20499999999999999</v>
      </c>
      <c r="BB61" s="46">
        <v>39</v>
      </c>
      <c r="BC61" s="46" t="s">
        <v>353</v>
      </c>
      <c r="BD61" s="46">
        <v>0.59</v>
      </c>
      <c r="BE61" s="46">
        <v>362</v>
      </c>
      <c r="BF61" s="46" t="s">
        <v>354</v>
      </c>
      <c r="BG61" s="46">
        <v>0.53300000000000003</v>
      </c>
      <c r="BH61" s="46">
        <v>7.8472E-2</v>
      </c>
      <c r="BI61" s="46">
        <v>46.2</v>
      </c>
      <c r="BJ61" s="46">
        <v>45.3</v>
      </c>
    </row>
    <row r="62" spans="1:62" x14ac:dyDescent="0.25">
      <c r="A62" s="46" t="s">
        <v>126</v>
      </c>
      <c r="B62" s="46">
        <v>41</v>
      </c>
      <c r="C62" s="46">
        <v>16</v>
      </c>
      <c r="D62" s="46">
        <v>25</v>
      </c>
      <c r="E62" s="52">
        <v>0.39</v>
      </c>
      <c r="F62" s="46">
        <v>0.61499999999999999</v>
      </c>
      <c r="G62" s="46">
        <v>0.60899999999999999</v>
      </c>
      <c r="H62" s="46">
        <v>201</v>
      </c>
      <c r="I62" s="46">
        <v>6.0999999999999999E-2</v>
      </c>
      <c r="J62" s="46">
        <v>96</v>
      </c>
      <c r="K62" s="46">
        <v>2.9000000000000001E-2</v>
      </c>
      <c r="L62" s="46">
        <v>8.4000000000000005E-2</v>
      </c>
      <c r="M62" s="46">
        <v>0.65400000000000003</v>
      </c>
      <c r="N62" s="46">
        <v>0.67700000000000005</v>
      </c>
      <c r="O62" s="46">
        <v>0.497</v>
      </c>
      <c r="P62" s="46">
        <v>0.54300000000000004</v>
      </c>
      <c r="Q62" s="46">
        <v>0.77400000000000002</v>
      </c>
      <c r="R62" s="46">
        <v>6.6</v>
      </c>
      <c r="S62" s="46">
        <v>2.5</v>
      </c>
      <c r="T62" s="46">
        <v>0.38700000000000001</v>
      </c>
      <c r="U62" s="46">
        <v>96</v>
      </c>
      <c r="V62" s="46">
        <v>248</v>
      </c>
      <c r="W62" s="46">
        <v>0.49</v>
      </c>
      <c r="X62" s="46">
        <v>2.2999999999999998</v>
      </c>
      <c r="Y62" s="46">
        <v>6</v>
      </c>
      <c r="Z62" s="46">
        <v>0.91</v>
      </c>
      <c r="AA62" s="46">
        <v>2.2999999999999998</v>
      </c>
      <c r="AB62" s="46">
        <v>0.61199999999999999</v>
      </c>
      <c r="AC62" s="46">
        <v>180</v>
      </c>
      <c r="AD62" s="46">
        <v>294</v>
      </c>
      <c r="AE62" s="46">
        <v>0.57999999999999996</v>
      </c>
      <c r="AF62" s="46">
        <v>2.8</v>
      </c>
      <c r="AG62" s="46">
        <v>7.2</v>
      </c>
      <c r="AH62" s="46">
        <v>1.08</v>
      </c>
      <c r="AI62" s="46">
        <v>2.8</v>
      </c>
      <c r="AJ62" s="46">
        <v>0.35699999999999998</v>
      </c>
      <c r="AK62" s="46">
        <v>0.35599999999999998</v>
      </c>
      <c r="AL62" s="46">
        <v>0.06</v>
      </c>
      <c r="AM62" s="46">
        <v>3.5000000000000003E-2</v>
      </c>
      <c r="AN62" s="46">
        <v>0.27900000000000003</v>
      </c>
      <c r="AO62" s="46">
        <v>0.47799999999999998</v>
      </c>
      <c r="AP62" s="46">
        <v>0.19</v>
      </c>
      <c r="AQ62" s="46">
        <v>6.3</v>
      </c>
      <c r="AR62" s="46">
        <v>2.2000000000000002</v>
      </c>
      <c r="AS62" s="46">
        <v>50.5</v>
      </c>
      <c r="AT62" s="46">
        <v>69.599999999999994</v>
      </c>
      <c r="AU62" s="46">
        <v>0.93</v>
      </c>
      <c r="AV62" s="46">
        <v>6498</v>
      </c>
      <c r="AW62" s="46">
        <v>0.48799999999999999</v>
      </c>
      <c r="AX62" s="46">
        <v>22</v>
      </c>
      <c r="AY62" s="46">
        <v>45577</v>
      </c>
      <c r="AZ62" s="46">
        <v>0.45500000000000002</v>
      </c>
      <c r="BA62" s="46">
        <v>0.20799999999999999</v>
      </c>
      <c r="BB62" s="46">
        <v>106</v>
      </c>
      <c r="BC62" s="46" t="s">
        <v>355</v>
      </c>
      <c r="BD62" s="46">
        <v>0.434</v>
      </c>
      <c r="BE62" s="46">
        <v>1010</v>
      </c>
      <c r="BF62" s="46" t="s">
        <v>356</v>
      </c>
      <c r="BG62" s="46">
        <v>0.48199999999999998</v>
      </c>
      <c r="BH62" s="46">
        <v>8.6110999999999993E-2</v>
      </c>
      <c r="BI62" s="46">
        <v>47.8</v>
      </c>
      <c r="BJ62" s="46">
        <v>46.8</v>
      </c>
    </row>
    <row r="63" spans="1:62" x14ac:dyDescent="0.25">
      <c r="A63" s="46" t="s">
        <v>127</v>
      </c>
      <c r="B63" s="46">
        <v>36</v>
      </c>
      <c r="C63" s="46">
        <v>14</v>
      </c>
      <c r="D63" s="46">
        <v>22</v>
      </c>
      <c r="E63" s="52">
        <v>0.38900000000000001</v>
      </c>
      <c r="F63" s="46">
        <v>0.63200000000000001</v>
      </c>
      <c r="G63" s="46">
        <v>0.60699999999999998</v>
      </c>
      <c r="H63" s="46">
        <v>303</v>
      </c>
      <c r="I63" s="46">
        <v>0.1</v>
      </c>
      <c r="J63" s="46">
        <v>69</v>
      </c>
      <c r="K63" s="46">
        <v>2.3E-2</v>
      </c>
      <c r="L63" s="46">
        <v>5.6000000000000001E-2</v>
      </c>
      <c r="M63" s="46">
        <v>0.59699999999999998</v>
      </c>
      <c r="N63" s="46">
        <v>0.71799999999999997</v>
      </c>
      <c r="O63" s="46">
        <v>0.505</v>
      </c>
      <c r="P63" s="46">
        <v>0.53500000000000003</v>
      </c>
      <c r="Q63" s="46">
        <v>0.77500000000000002</v>
      </c>
      <c r="R63" s="46">
        <v>6.5</v>
      </c>
      <c r="S63" s="46">
        <v>2.4</v>
      </c>
      <c r="T63" s="46">
        <v>0.36699999999999999</v>
      </c>
      <c r="U63" s="46">
        <v>65</v>
      </c>
      <c r="V63" s="46">
        <v>177</v>
      </c>
      <c r="W63" s="46">
        <v>0.38</v>
      </c>
      <c r="X63" s="46">
        <v>1.9</v>
      </c>
      <c r="Y63" s="46">
        <v>4.9000000000000004</v>
      </c>
      <c r="Z63" s="46">
        <v>0.71</v>
      </c>
      <c r="AA63" s="46">
        <v>1.8</v>
      </c>
      <c r="AB63" s="46">
        <v>0.58499999999999996</v>
      </c>
      <c r="AC63" s="46">
        <v>148</v>
      </c>
      <c r="AD63" s="46">
        <v>253</v>
      </c>
      <c r="AE63" s="46">
        <v>0.54</v>
      </c>
      <c r="AF63" s="46">
        <v>2.8</v>
      </c>
      <c r="AG63" s="46">
        <v>7</v>
      </c>
      <c r="AH63" s="46">
        <v>1.1499999999999999</v>
      </c>
      <c r="AI63" s="46">
        <v>2.9</v>
      </c>
      <c r="AJ63" s="46">
        <v>0.32600000000000001</v>
      </c>
      <c r="AK63" s="46">
        <v>0.33600000000000002</v>
      </c>
      <c r="AL63" s="46">
        <v>9.0999999999999998E-2</v>
      </c>
      <c r="AM63" s="46">
        <v>3.1E-2</v>
      </c>
      <c r="AN63" s="46">
        <v>0.249</v>
      </c>
      <c r="AO63" s="46">
        <v>0.45100000000000001</v>
      </c>
      <c r="AP63" s="46">
        <v>0.13900000000000001</v>
      </c>
      <c r="AQ63" s="46">
        <v>6.2</v>
      </c>
      <c r="AR63" s="46">
        <v>2</v>
      </c>
      <c r="AS63" s="46">
        <v>57.5</v>
      </c>
      <c r="AT63" s="46">
        <v>92.2</v>
      </c>
      <c r="AU63" s="46">
        <v>0.89</v>
      </c>
      <c r="AV63" s="46">
        <v>5936</v>
      </c>
      <c r="AW63" s="46">
        <v>0.48199999999999998</v>
      </c>
      <c r="AX63" s="46">
        <v>27</v>
      </c>
      <c r="AY63" s="46" t="s">
        <v>281</v>
      </c>
      <c r="AZ63" s="46">
        <v>0.66700000000000004</v>
      </c>
      <c r="BA63" s="46">
        <v>0.29699999999999999</v>
      </c>
      <c r="BB63" s="46">
        <v>91</v>
      </c>
      <c r="BC63" s="46" t="s">
        <v>357</v>
      </c>
      <c r="BD63" s="46">
        <v>0.40699999999999997</v>
      </c>
      <c r="BE63" s="46">
        <v>932</v>
      </c>
      <c r="BF63" s="46" t="s">
        <v>358</v>
      </c>
      <c r="BG63" s="46">
        <v>0.45700000000000002</v>
      </c>
      <c r="BH63" s="46">
        <v>8.0556000000000003E-2</v>
      </c>
      <c r="BI63" s="46">
        <v>46.1</v>
      </c>
      <c r="BJ63" s="46">
        <v>42.4</v>
      </c>
    </row>
    <row r="64" spans="1:62" x14ac:dyDescent="0.25">
      <c r="A64" s="46" t="s">
        <v>128</v>
      </c>
      <c r="B64" s="46">
        <v>29</v>
      </c>
      <c r="C64" s="46">
        <v>12</v>
      </c>
      <c r="D64" s="46">
        <v>17</v>
      </c>
      <c r="E64" s="52">
        <v>0.41399999999999998</v>
      </c>
      <c r="F64" s="46">
        <v>0.621</v>
      </c>
      <c r="G64" s="46">
        <v>0.624</v>
      </c>
      <c r="H64" s="46">
        <v>155</v>
      </c>
      <c r="I64" s="46">
        <v>6.4000000000000001E-2</v>
      </c>
      <c r="J64" s="46">
        <v>106</v>
      </c>
      <c r="K64" s="46">
        <v>4.3999999999999997E-2</v>
      </c>
      <c r="L64" s="46">
        <v>0.11600000000000001</v>
      </c>
      <c r="M64" s="46">
        <v>0.624</v>
      </c>
      <c r="N64" s="46">
        <v>0.69399999999999995</v>
      </c>
      <c r="O64" s="46">
        <v>0.5</v>
      </c>
      <c r="P64" s="46">
        <v>0.56499999999999995</v>
      </c>
      <c r="Q64" s="46">
        <v>0.78400000000000003</v>
      </c>
      <c r="R64" s="46">
        <v>6.7</v>
      </c>
      <c r="S64" s="46">
        <v>2.5</v>
      </c>
      <c r="T64" s="46">
        <v>0.41499999999999998</v>
      </c>
      <c r="U64" s="46">
        <v>66</v>
      </c>
      <c r="V64" s="46">
        <v>159</v>
      </c>
      <c r="W64" s="46">
        <v>0.44</v>
      </c>
      <c r="X64" s="46">
        <v>2</v>
      </c>
      <c r="Y64" s="46">
        <v>5.5</v>
      </c>
      <c r="Z64" s="46">
        <v>0.85</v>
      </c>
      <c r="AA64" s="46">
        <v>2.2999999999999998</v>
      </c>
      <c r="AB64" s="46">
        <v>0.64700000000000002</v>
      </c>
      <c r="AC64" s="46">
        <v>145</v>
      </c>
      <c r="AD64" s="46">
        <v>224</v>
      </c>
      <c r="AE64" s="46">
        <v>0.61</v>
      </c>
      <c r="AF64" s="46">
        <v>2.9</v>
      </c>
      <c r="AG64" s="46">
        <v>7.7</v>
      </c>
      <c r="AH64" s="46">
        <v>1.01</v>
      </c>
      <c r="AI64" s="46">
        <v>2.7</v>
      </c>
      <c r="AJ64" s="46">
        <v>0.34699999999999998</v>
      </c>
      <c r="AK64" s="46">
        <v>0.34399999999999997</v>
      </c>
      <c r="AL64" s="46">
        <v>7.3999999999999996E-2</v>
      </c>
      <c r="AM64" s="46">
        <v>4.2999999999999997E-2</v>
      </c>
      <c r="AN64" s="46">
        <v>0.26900000000000002</v>
      </c>
      <c r="AO64" s="46">
        <v>0.48399999999999999</v>
      </c>
      <c r="AP64" s="46">
        <v>0.183</v>
      </c>
      <c r="AQ64" s="46">
        <v>6.3</v>
      </c>
      <c r="AR64" s="46">
        <v>2.2000000000000002</v>
      </c>
      <c r="AS64" s="46">
        <v>52</v>
      </c>
      <c r="AT64" s="46">
        <v>97.8</v>
      </c>
      <c r="AU64" s="46">
        <v>0.91</v>
      </c>
      <c r="AV64" s="46">
        <v>4701</v>
      </c>
      <c r="AW64" s="46">
        <v>0.48899999999999999</v>
      </c>
      <c r="AX64" s="46">
        <v>13</v>
      </c>
      <c r="AY64" s="46">
        <v>45391</v>
      </c>
      <c r="AZ64" s="46">
        <v>0.308</v>
      </c>
      <c r="BA64" s="46">
        <v>0.16700000000000001</v>
      </c>
      <c r="BB64" s="46">
        <v>78</v>
      </c>
      <c r="BC64" s="46" t="s">
        <v>359</v>
      </c>
      <c r="BD64" s="46">
        <v>0.46200000000000002</v>
      </c>
      <c r="BE64" s="46">
        <v>726</v>
      </c>
      <c r="BF64" s="46" t="s">
        <v>360</v>
      </c>
      <c r="BG64" s="46">
        <v>0.48499999999999999</v>
      </c>
      <c r="BH64" s="46">
        <v>8.4028000000000005E-2</v>
      </c>
      <c r="BI64" s="46">
        <v>45.1</v>
      </c>
      <c r="BJ64" s="46">
        <v>44.9</v>
      </c>
    </row>
    <row r="65" spans="1:62" x14ac:dyDescent="0.25">
      <c r="A65" s="46" t="s">
        <v>129</v>
      </c>
      <c r="B65" s="46">
        <v>25</v>
      </c>
      <c r="C65" s="46">
        <v>11</v>
      </c>
      <c r="D65" s="46">
        <v>14</v>
      </c>
      <c r="E65" s="52">
        <v>0.44</v>
      </c>
      <c r="F65" s="46">
        <v>0.60299999999999998</v>
      </c>
      <c r="G65" s="46">
        <v>0.60299999999999998</v>
      </c>
      <c r="H65" s="46">
        <v>113</v>
      </c>
      <c r="I65" s="46">
        <v>5.8999999999999997E-2</v>
      </c>
      <c r="J65" s="46">
        <v>76</v>
      </c>
      <c r="K65" s="46">
        <v>0.04</v>
      </c>
      <c r="L65" s="46">
        <v>8.7999999999999995E-2</v>
      </c>
      <c r="M65" s="46">
        <v>0.54700000000000004</v>
      </c>
      <c r="N65" s="46">
        <v>0.69699999999999995</v>
      </c>
      <c r="O65" s="46">
        <v>0.48899999999999999</v>
      </c>
      <c r="P65" s="46">
        <v>0.53600000000000003</v>
      </c>
      <c r="Q65" s="46">
        <v>0.745</v>
      </c>
      <c r="R65" s="46">
        <v>6.5</v>
      </c>
      <c r="S65" s="46">
        <v>2.6</v>
      </c>
      <c r="T65" s="46">
        <v>0.38700000000000001</v>
      </c>
      <c r="U65" s="46">
        <v>62</v>
      </c>
      <c r="V65" s="46">
        <v>160</v>
      </c>
      <c r="W65" s="46">
        <v>0.53</v>
      </c>
      <c r="X65" s="46">
        <v>2.2999999999999998</v>
      </c>
      <c r="Y65" s="46">
        <v>6.4</v>
      </c>
      <c r="Z65" s="46">
        <v>0.9</v>
      </c>
      <c r="AA65" s="46">
        <v>2.5</v>
      </c>
      <c r="AB65" s="46">
        <v>0.65300000000000002</v>
      </c>
      <c r="AC65" s="46">
        <v>141</v>
      </c>
      <c r="AD65" s="46">
        <v>216</v>
      </c>
      <c r="AE65" s="46">
        <v>0.73</v>
      </c>
      <c r="AF65" s="46">
        <v>3.1</v>
      </c>
      <c r="AG65" s="46">
        <v>8.6</v>
      </c>
      <c r="AH65" s="46">
        <v>1.0900000000000001</v>
      </c>
      <c r="AI65" s="46">
        <v>3</v>
      </c>
      <c r="AJ65" s="46">
        <v>0.36399999999999999</v>
      </c>
      <c r="AK65" s="46">
        <v>0.36599999999999999</v>
      </c>
      <c r="AL65" s="46">
        <v>5.2999999999999999E-2</v>
      </c>
      <c r="AM65" s="46">
        <v>2.7E-2</v>
      </c>
      <c r="AN65" s="46">
        <v>0.30299999999999999</v>
      </c>
      <c r="AO65" s="46">
        <v>0.46200000000000002</v>
      </c>
      <c r="AP65" s="46">
        <v>0.20699999999999999</v>
      </c>
      <c r="AQ65" s="46">
        <v>6.4</v>
      </c>
      <c r="AR65" s="46">
        <v>2.2999999999999998</v>
      </c>
      <c r="AS65" s="46">
        <v>68</v>
      </c>
      <c r="AT65" s="46">
        <v>91</v>
      </c>
      <c r="AU65" s="46">
        <v>0.92</v>
      </c>
      <c r="AV65" s="46">
        <v>3830</v>
      </c>
      <c r="AW65" s="46">
        <v>0.48299999999999998</v>
      </c>
      <c r="AX65" s="46">
        <v>11</v>
      </c>
      <c r="AY65" s="46">
        <v>45359</v>
      </c>
      <c r="AZ65" s="46">
        <v>0.27300000000000002</v>
      </c>
      <c r="BA65" s="46">
        <v>0.159</v>
      </c>
      <c r="BB65" s="46">
        <v>69</v>
      </c>
      <c r="BC65" s="46" t="s">
        <v>361</v>
      </c>
      <c r="BD65" s="46">
        <v>0.40600000000000003</v>
      </c>
      <c r="BE65" s="46">
        <v>594</v>
      </c>
      <c r="BF65" s="46" t="s">
        <v>362</v>
      </c>
      <c r="BG65" s="46">
        <v>0.47299999999999998</v>
      </c>
      <c r="BH65" s="46">
        <v>7.9861000000000001E-2</v>
      </c>
      <c r="BI65" s="46">
        <v>41.8</v>
      </c>
      <c r="BJ65" s="46">
        <v>45.2</v>
      </c>
    </row>
    <row r="66" spans="1:62" x14ac:dyDescent="0.25">
      <c r="A66" s="46" t="s">
        <v>130</v>
      </c>
      <c r="B66" s="46">
        <v>43</v>
      </c>
      <c r="C66" s="46">
        <v>19</v>
      </c>
      <c r="D66" s="46">
        <v>24</v>
      </c>
      <c r="E66" s="52">
        <v>0.442</v>
      </c>
      <c r="F66" s="46">
        <v>0.621</v>
      </c>
      <c r="G66" s="46">
        <v>0.61899999999999999</v>
      </c>
      <c r="H66" s="46">
        <v>110</v>
      </c>
      <c r="I66" s="46">
        <v>3.5000000000000003E-2</v>
      </c>
      <c r="J66" s="46">
        <v>56</v>
      </c>
      <c r="K66" s="46">
        <v>1.7999999999999999E-2</v>
      </c>
      <c r="L66" s="46">
        <v>0.06</v>
      </c>
      <c r="M66" s="46">
        <v>0.69799999999999995</v>
      </c>
      <c r="N66" s="46">
        <v>0.68</v>
      </c>
      <c r="O66" s="46">
        <v>0.48499999999999999</v>
      </c>
      <c r="P66" s="46">
        <v>0.51600000000000001</v>
      </c>
      <c r="Q66" s="46">
        <v>0.76500000000000001</v>
      </c>
      <c r="R66" s="46">
        <v>6.3</v>
      </c>
      <c r="S66" s="46">
        <v>2.4</v>
      </c>
      <c r="T66" s="46">
        <v>0.40600000000000003</v>
      </c>
      <c r="U66" s="46">
        <v>101</v>
      </c>
      <c r="V66" s="46">
        <v>249</v>
      </c>
      <c r="W66" s="46">
        <v>0.5</v>
      </c>
      <c r="X66" s="46">
        <v>2.4</v>
      </c>
      <c r="Y66" s="46">
        <v>5.8</v>
      </c>
      <c r="Z66" s="46">
        <v>0.96</v>
      </c>
      <c r="AA66" s="46">
        <v>2.2999999999999998</v>
      </c>
      <c r="AB66" s="46">
        <v>0.55400000000000005</v>
      </c>
      <c r="AC66" s="46">
        <v>144</v>
      </c>
      <c r="AD66" s="46">
        <v>260</v>
      </c>
      <c r="AE66" s="46">
        <v>0.53</v>
      </c>
      <c r="AF66" s="46">
        <v>2.5</v>
      </c>
      <c r="AG66" s="46">
        <v>6</v>
      </c>
      <c r="AH66" s="46">
        <v>1.1000000000000001</v>
      </c>
      <c r="AI66" s="46">
        <v>2.7</v>
      </c>
      <c r="AJ66" s="46">
        <v>0.35399999999999998</v>
      </c>
      <c r="AK66" s="46">
        <v>0.36</v>
      </c>
      <c r="AL66" s="46">
        <v>7.9000000000000001E-2</v>
      </c>
      <c r="AM66" s="46">
        <v>3.4000000000000002E-2</v>
      </c>
      <c r="AN66" s="46">
        <v>0.27300000000000002</v>
      </c>
      <c r="AO66" s="46">
        <v>0.49</v>
      </c>
      <c r="AP66" s="46">
        <v>0.20399999999999999</v>
      </c>
      <c r="AQ66" s="46">
        <v>6.2</v>
      </c>
      <c r="AR66" s="46">
        <v>2.2000000000000002</v>
      </c>
      <c r="AS66" s="46">
        <v>54</v>
      </c>
      <c r="AT66" s="46">
        <v>79.2</v>
      </c>
      <c r="AU66" s="46">
        <v>0.93</v>
      </c>
      <c r="AV66" s="46">
        <v>6193</v>
      </c>
      <c r="AW66" s="46">
        <v>0.48799999999999999</v>
      </c>
      <c r="AX66" s="46">
        <v>12</v>
      </c>
      <c r="AY66" s="46">
        <v>45419</v>
      </c>
      <c r="AZ66" s="46">
        <v>0.41699999999999998</v>
      </c>
      <c r="BA66" s="46">
        <v>0.114</v>
      </c>
      <c r="BB66" s="46">
        <v>105</v>
      </c>
      <c r="BC66" s="46" t="s">
        <v>363</v>
      </c>
      <c r="BD66" s="46">
        <v>0.45700000000000002</v>
      </c>
      <c r="BE66" s="46">
        <v>990</v>
      </c>
      <c r="BF66" s="46" t="s">
        <v>364</v>
      </c>
      <c r="BG66" s="46">
        <v>0.48399999999999999</v>
      </c>
      <c r="BH66" s="46">
        <v>6.8056000000000005E-2</v>
      </c>
      <c r="BI66" s="46">
        <v>40.1</v>
      </c>
      <c r="BJ66" s="46">
        <v>40.799999999999997</v>
      </c>
    </row>
    <row r="67" spans="1:62" x14ac:dyDescent="0.25">
      <c r="A67" s="46" t="s">
        <v>131</v>
      </c>
      <c r="B67" s="46">
        <v>52</v>
      </c>
      <c r="C67" s="46">
        <v>22</v>
      </c>
      <c r="D67" s="46">
        <v>30</v>
      </c>
      <c r="E67" s="52">
        <v>0.42299999999999999</v>
      </c>
      <c r="F67" s="46">
        <v>0.629</v>
      </c>
      <c r="G67" s="46">
        <v>0.624</v>
      </c>
      <c r="H67" s="46">
        <v>217</v>
      </c>
      <c r="I67" s="46">
        <v>0.05</v>
      </c>
      <c r="J67" s="46">
        <v>98</v>
      </c>
      <c r="K67" s="46">
        <v>2.3E-2</v>
      </c>
      <c r="L67" s="46">
        <v>0.06</v>
      </c>
      <c r="M67" s="46">
        <v>0.621</v>
      </c>
      <c r="N67" s="46">
        <v>0.68799999999999994</v>
      </c>
      <c r="O67" s="46">
        <v>0.53200000000000003</v>
      </c>
      <c r="P67" s="46">
        <v>0.56599999999999995</v>
      </c>
      <c r="Q67" s="46">
        <v>0.78300000000000003</v>
      </c>
      <c r="R67" s="46">
        <v>6.5</v>
      </c>
      <c r="S67" s="46">
        <v>2.4</v>
      </c>
      <c r="T67" s="46">
        <v>0.379</v>
      </c>
      <c r="U67" s="46">
        <v>142</v>
      </c>
      <c r="V67" s="46">
        <v>375</v>
      </c>
      <c r="W67" s="46">
        <v>0.56999999999999995</v>
      </c>
      <c r="X67" s="46">
        <v>2.8</v>
      </c>
      <c r="Y67" s="46">
        <v>7.2</v>
      </c>
      <c r="Z67" s="46">
        <v>1.06</v>
      </c>
      <c r="AA67" s="46">
        <v>2.7</v>
      </c>
      <c r="AB67" s="46">
        <v>0.61899999999999999</v>
      </c>
      <c r="AC67" s="46">
        <v>232</v>
      </c>
      <c r="AD67" s="46">
        <v>375</v>
      </c>
      <c r="AE67" s="46">
        <v>0.56999999999999995</v>
      </c>
      <c r="AF67" s="46">
        <v>2.8</v>
      </c>
      <c r="AG67" s="46">
        <v>7.2</v>
      </c>
      <c r="AH67" s="46">
        <v>1.07</v>
      </c>
      <c r="AI67" s="46">
        <v>2.8</v>
      </c>
      <c r="AJ67" s="46">
        <v>0.37</v>
      </c>
      <c r="AK67" s="46">
        <v>0.38400000000000001</v>
      </c>
      <c r="AL67" s="46">
        <v>8.5000000000000006E-2</v>
      </c>
      <c r="AM67" s="46">
        <v>3.1E-2</v>
      </c>
      <c r="AN67" s="46">
        <v>0.28000000000000003</v>
      </c>
      <c r="AO67" s="46">
        <v>0.51700000000000002</v>
      </c>
      <c r="AP67" s="46">
        <v>0.215</v>
      </c>
      <c r="AQ67" s="46">
        <v>6.7</v>
      </c>
      <c r="AR67" s="46">
        <v>2.5</v>
      </c>
      <c r="AS67" s="46">
        <v>74</v>
      </c>
      <c r="AT67" s="46">
        <v>90.5</v>
      </c>
      <c r="AU67" s="46">
        <v>1</v>
      </c>
      <c r="AV67" s="46">
        <v>8727</v>
      </c>
      <c r="AW67" s="46">
        <v>0.498</v>
      </c>
      <c r="AX67" s="46">
        <v>34</v>
      </c>
      <c r="AY67" s="46" t="s">
        <v>365</v>
      </c>
      <c r="AZ67" s="46">
        <v>0.38200000000000001</v>
      </c>
      <c r="BA67" s="46">
        <v>0.254</v>
      </c>
      <c r="BB67" s="46">
        <v>134</v>
      </c>
      <c r="BC67" s="46" t="s">
        <v>366</v>
      </c>
      <c r="BD67" s="46">
        <v>0.44800000000000001</v>
      </c>
      <c r="BE67" s="46">
        <v>1320</v>
      </c>
      <c r="BF67" s="46" t="s">
        <v>367</v>
      </c>
      <c r="BG67" s="46">
        <v>0.498</v>
      </c>
      <c r="BH67" s="46">
        <v>8.1250000000000003E-2</v>
      </c>
      <c r="BI67" s="46">
        <v>45.5</v>
      </c>
      <c r="BJ67" s="46">
        <v>42</v>
      </c>
    </row>
    <row r="68" spans="1:62" x14ac:dyDescent="0.25">
      <c r="A68" s="46" t="s">
        <v>132</v>
      </c>
      <c r="B68" s="46">
        <v>42</v>
      </c>
      <c r="C68" s="46">
        <v>19</v>
      </c>
      <c r="D68" s="46">
        <v>23</v>
      </c>
      <c r="E68" s="52">
        <v>0.45200000000000001</v>
      </c>
      <c r="F68" s="46">
        <v>0.63800000000000001</v>
      </c>
      <c r="G68" s="46">
        <v>0.61599999999999999</v>
      </c>
      <c r="H68" s="46">
        <v>337</v>
      </c>
      <c r="I68" s="46">
        <v>9.5000000000000001E-2</v>
      </c>
      <c r="J68" s="46">
        <v>85</v>
      </c>
      <c r="K68" s="46">
        <v>2.4E-2</v>
      </c>
      <c r="L68" s="46">
        <v>6.2E-2</v>
      </c>
      <c r="M68" s="46">
        <v>0.61299999999999999</v>
      </c>
      <c r="N68" s="46">
        <v>0.73599999999999999</v>
      </c>
      <c r="O68" s="46">
        <v>0.48299999999999998</v>
      </c>
      <c r="P68" s="46">
        <v>0.51500000000000001</v>
      </c>
      <c r="Q68" s="46">
        <v>0.81200000000000006</v>
      </c>
      <c r="R68" s="46">
        <v>6.7</v>
      </c>
      <c r="S68" s="46">
        <v>2.4</v>
      </c>
      <c r="T68" s="46">
        <v>0.36399999999999999</v>
      </c>
      <c r="U68" s="46">
        <v>88</v>
      </c>
      <c r="V68" s="46">
        <v>242</v>
      </c>
      <c r="W68" s="46">
        <v>0.45</v>
      </c>
      <c r="X68" s="46">
        <v>2.2999999999999998</v>
      </c>
      <c r="Y68" s="46">
        <v>5.8</v>
      </c>
      <c r="Z68" s="46">
        <v>0.82</v>
      </c>
      <c r="AA68" s="46">
        <v>2.1</v>
      </c>
      <c r="AB68" s="46">
        <v>0.66400000000000003</v>
      </c>
      <c r="AC68" s="46">
        <v>198</v>
      </c>
      <c r="AD68" s="46">
        <v>298</v>
      </c>
      <c r="AE68" s="46">
        <v>0.56000000000000005</v>
      </c>
      <c r="AF68" s="46">
        <v>2.8</v>
      </c>
      <c r="AG68" s="46">
        <v>7.1</v>
      </c>
      <c r="AH68" s="46">
        <v>0.93</v>
      </c>
      <c r="AI68" s="46">
        <v>2.4</v>
      </c>
      <c r="AJ68" s="46">
        <v>0.33600000000000002</v>
      </c>
      <c r="AK68" s="46">
        <v>0.34899999999999998</v>
      </c>
      <c r="AL68" s="46">
        <v>0.108</v>
      </c>
      <c r="AM68" s="46">
        <v>3.6999999999999998E-2</v>
      </c>
      <c r="AN68" s="46">
        <v>0.255</v>
      </c>
      <c r="AO68" s="46">
        <v>0.47</v>
      </c>
      <c r="AP68" s="46">
        <v>0.16300000000000001</v>
      </c>
      <c r="AQ68" s="46">
        <v>6.2</v>
      </c>
      <c r="AR68" s="46">
        <v>2.1</v>
      </c>
      <c r="AS68" s="46">
        <v>44.5</v>
      </c>
      <c r="AT68" s="46">
        <v>81.599999999999994</v>
      </c>
      <c r="AU68" s="46">
        <v>0.93</v>
      </c>
      <c r="AV68" s="46">
        <v>6905</v>
      </c>
      <c r="AW68" s="46">
        <v>0.49099999999999999</v>
      </c>
      <c r="AX68" s="46">
        <v>27</v>
      </c>
      <c r="AY68" s="46" t="s">
        <v>368</v>
      </c>
      <c r="AZ68" s="46">
        <v>0.59299999999999997</v>
      </c>
      <c r="BA68" s="46">
        <v>0.252</v>
      </c>
      <c r="BB68" s="46">
        <v>107</v>
      </c>
      <c r="BC68" s="46" t="s">
        <v>369</v>
      </c>
      <c r="BD68" s="46">
        <v>0.46700000000000003</v>
      </c>
      <c r="BE68" s="46">
        <v>1071</v>
      </c>
      <c r="BF68" s="46" t="s">
        <v>370</v>
      </c>
      <c r="BG68" s="46">
        <v>0.48599999999999999</v>
      </c>
      <c r="BH68" s="46">
        <v>8.5417000000000007E-2</v>
      </c>
      <c r="BI68" s="46">
        <v>48.1</v>
      </c>
      <c r="BJ68" s="46">
        <v>44.8</v>
      </c>
    </row>
    <row r="69" spans="1:62" x14ac:dyDescent="0.25">
      <c r="A69" s="46" t="s">
        <v>133</v>
      </c>
      <c r="B69" s="46">
        <v>44</v>
      </c>
      <c r="C69" s="46">
        <v>20</v>
      </c>
      <c r="D69" s="46">
        <v>24</v>
      </c>
      <c r="E69" s="52">
        <v>0.45500000000000002</v>
      </c>
      <c r="F69" s="46">
        <v>0.623</v>
      </c>
      <c r="G69" s="46">
        <v>0.63200000000000001</v>
      </c>
      <c r="H69" s="46">
        <v>81</v>
      </c>
      <c r="I69" s="46">
        <v>2.5000000000000001E-2</v>
      </c>
      <c r="J69" s="46">
        <v>93</v>
      </c>
      <c r="K69" s="46">
        <v>2.8000000000000001E-2</v>
      </c>
      <c r="L69" s="46">
        <v>8.3000000000000004E-2</v>
      </c>
      <c r="M69" s="46">
        <v>0.65600000000000003</v>
      </c>
      <c r="N69" s="46">
        <v>0.67500000000000004</v>
      </c>
      <c r="O69" s="46">
        <v>0.52400000000000002</v>
      </c>
      <c r="P69" s="46">
        <v>0.57099999999999995</v>
      </c>
      <c r="Q69" s="46">
        <v>0.76300000000000001</v>
      </c>
      <c r="R69" s="46">
        <v>6.5</v>
      </c>
      <c r="S69" s="46">
        <v>2.4</v>
      </c>
      <c r="T69" s="46">
        <v>0.39200000000000002</v>
      </c>
      <c r="U69" s="46">
        <v>112</v>
      </c>
      <c r="V69" s="46">
        <v>286</v>
      </c>
      <c r="W69" s="46">
        <v>0.56000000000000005</v>
      </c>
      <c r="X69" s="46">
        <v>2.6</v>
      </c>
      <c r="Y69" s="46">
        <v>6.5</v>
      </c>
      <c r="Z69" s="46">
        <v>1.04</v>
      </c>
      <c r="AA69" s="46">
        <v>2.5</v>
      </c>
      <c r="AB69" s="46">
        <v>0.58299999999999996</v>
      </c>
      <c r="AC69" s="46">
        <v>168</v>
      </c>
      <c r="AD69" s="46">
        <v>288</v>
      </c>
      <c r="AE69" s="46">
        <v>0.56999999999999995</v>
      </c>
      <c r="AF69" s="46">
        <v>2.7</v>
      </c>
      <c r="AG69" s="46">
        <v>6.5</v>
      </c>
      <c r="AH69" s="46">
        <v>1.1100000000000001</v>
      </c>
      <c r="AI69" s="46">
        <v>2.7</v>
      </c>
      <c r="AJ69" s="46">
        <v>0.378</v>
      </c>
      <c r="AK69" s="46">
        <v>0.36899999999999999</v>
      </c>
      <c r="AL69" s="46">
        <v>5.8000000000000003E-2</v>
      </c>
      <c r="AM69" s="46">
        <v>4.8000000000000001E-2</v>
      </c>
      <c r="AN69" s="46">
        <v>0.29299999999999998</v>
      </c>
      <c r="AO69" s="46">
        <v>0.504</v>
      </c>
      <c r="AP69" s="46">
        <v>0.217</v>
      </c>
      <c r="AQ69" s="46">
        <v>6.5</v>
      </c>
      <c r="AR69" s="46">
        <v>2.4</v>
      </c>
      <c r="AS69" s="46">
        <v>73</v>
      </c>
      <c r="AT69" s="46">
        <v>106.7</v>
      </c>
      <c r="AU69" s="46">
        <v>1</v>
      </c>
      <c r="AV69" s="46">
        <v>6599</v>
      </c>
      <c r="AW69" s="46">
        <v>0.499</v>
      </c>
      <c r="AX69" s="46">
        <v>15</v>
      </c>
      <c r="AY69" s="46">
        <v>45422</v>
      </c>
      <c r="AZ69" s="46">
        <v>0.33300000000000002</v>
      </c>
      <c r="BA69" s="46">
        <v>0.13900000000000001</v>
      </c>
      <c r="BB69" s="46">
        <v>108</v>
      </c>
      <c r="BC69" s="46" t="s">
        <v>371</v>
      </c>
      <c r="BD69" s="46">
        <v>0.45400000000000001</v>
      </c>
      <c r="BE69" s="46">
        <v>1021</v>
      </c>
      <c r="BF69" s="46" t="s">
        <v>372</v>
      </c>
      <c r="BG69" s="46">
        <v>0.48799999999999999</v>
      </c>
      <c r="BH69" s="46">
        <v>8.4028000000000005E-2</v>
      </c>
      <c r="BI69" s="46">
        <v>49.5</v>
      </c>
      <c r="BJ69" s="46">
        <v>48.6</v>
      </c>
    </row>
    <row r="70" spans="1:62" x14ac:dyDescent="0.25">
      <c r="A70" s="46" t="s">
        <v>134</v>
      </c>
      <c r="B70" s="46">
        <v>36</v>
      </c>
      <c r="C70" s="46">
        <v>13</v>
      </c>
      <c r="D70" s="46">
        <v>23</v>
      </c>
      <c r="E70" s="52">
        <v>0.36099999999999999</v>
      </c>
      <c r="F70" s="46">
        <v>0.63500000000000001</v>
      </c>
      <c r="G70" s="46">
        <v>0.64600000000000002</v>
      </c>
      <c r="H70" s="46">
        <v>152</v>
      </c>
      <c r="I70" s="46">
        <v>5.3999999999999999E-2</v>
      </c>
      <c r="J70" s="46">
        <v>131</v>
      </c>
      <c r="K70" s="46">
        <v>4.7E-2</v>
      </c>
      <c r="L70" s="46">
        <v>0.109</v>
      </c>
      <c r="M70" s="46">
        <v>0.57099999999999995</v>
      </c>
      <c r="N70" s="46">
        <v>0.72199999999999998</v>
      </c>
      <c r="O70" s="46">
        <v>0.52</v>
      </c>
      <c r="P70" s="46">
        <v>0.58399999999999996</v>
      </c>
      <c r="Q70" s="46">
        <v>0.79100000000000004</v>
      </c>
      <c r="R70" s="46">
        <v>6.3</v>
      </c>
      <c r="S70" s="46">
        <v>2.2999999999999998</v>
      </c>
      <c r="T70" s="46">
        <v>0.35499999999999998</v>
      </c>
      <c r="U70" s="46">
        <v>81</v>
      </c>
      <c r="V70" s="46">
        <v>228</v>
      </c>
      <c r="W70" s="46">
        <v>0.52</v>
      </c>
      <c r="X70" s="46">
        <v>2.5</v>
      </c>
      <c r="Y70" s="46">
        <v>6.3</v>
      </c>
      <c r="Z70" s="46">
        <v>0.88</v>
      </c>
      <c r="AA70" s="46">
        <v>2.2999999999999998</v>
      </c>
      <c r="AB70" s="46">
        <v>0.61</v>
      </c>
      <c r="AC70" s="46">
        <v>144</v>
      </c>
      <c r="AD70" s="46">
        <v>236</v>
      </c>
      <c r="AE70" s="46">
        <v>0.54</v>
      </c>
      <c r="AF70" s="46">
        <v>2.6</v>
      </c>
      <c r="AG70" s="46">
        <v>6.6</v>
      </c>
      <c r="AH70" s="46">
        <v>1</v>
      </c>
      <c r="AI70" s="46">
        <v>2.6</v>
      </c>
      <c r="AJ70" s="46">
        <v>0.35099999999999998</v>
      </c>
      <c r="AK70" s="46">
        <v>0.36899999999999999</v>
      </c>
      <c r="AL70" s="46">
        <v>0.111</v>
      </c>
      <c r="AM70" s="46">
        <v>3.6999999999999998E-2</v>
      </c>
      <c r="AN70" s="46">
        <v>0.27700000000000002</v>
      </c>
      <c r="AO70" s="46">
        <v>0.47799999999999998</v>
      </c>
      <c r="AP70" s="46">
        <v>0.184</v>
      </c>
      <c r="AQ70" s="46">
        <v>6.4</v>
      </c>
      <c r="AR70" s="46">
        <v>2.2000000000000002</v>
      </c>
      <c r="AS70" s="46">
        <v>45</v>
      </c>
      <c r="AT70" s="46">
        <v>58.4</v>
      </c>
      <c r="AU70" s="46">
        <v>0.96</v>
      </c>
      <c r="AV70" s="46">
        <v>5612</v>
      </c>
      <c r="AW70" s="46">
        <v>0.49299999999999999</v>
      </c>
      <c r="AX70" s="46">
        <v>15</v>
      </c>
      <c r="AY70" s="46">
        <v>45363</v>
      </c>
      <c r="AZ70" s="46">
        <v>0.2</v>
      </c>
      <c r="BA70" s="46">
        <v>0.16300000000000001</v>
      </c>
      <c r="BB70" s="46">
        <v>92</v>
      </c>
      <c r="BC70" s="46" t="s">
        <v>373</v>
      </c>
      <c r="BD70" s="46">
        <v>0.42399999999999999</v>
      </c>
      <c r="BE70" s="46">
        <v>882</v>
      </c>
      <c r="BF70" s="46" t="s">
        <v>374</v>
      </c>
      <c r="BG70" s="46">
        <v>0.48799999999999999</v>
      </c>
      <c r="BH70" s="46">
        <v>8.2639000000000004E-2</v>
      </c>
      <c r="BI70" s="46">
        <v>46.7</v>
      </c>
      <c r="BJ70" s="46">
        <v>45.9</v>
      </c>
    </row>
    <row r="71" spans="1:62" x14ac:dyDescent="0.25">
      <c r="A71" s="46" t="s">
        <v>135</v>
      </c>
      <c r="B71" s="46">
        <v>34</v>
      </c>
      <c r="C71" s="46">
        <v>16</v>
      </c>
      <c r="D71" s="46">
        <v>18</v>
      </c>
      <c r="E71" s="52">
        <v>0.47099999999999997</v>
      </c>
      <c r="F71" s="46">
        <v>0.63</v>
      </c>
      <c r="G71" s="46">
        <v>0.629</v>
      </c>
      <c r="H71" s="46">
        <v>162</v>
      </c>
      <c r="I71" s="46">
        <v>5.7000000000000002E-2</v>
      </c>
      <c r="J71" s="46">
        <v>90</v>
      </c>
      <c r="K71" s="46">
        <v>3.2000000000000001E-2</v>
      </c>
      <c r="L71" s="46">
        <v>9.6000000000000002E-2</v>
      </c>
      <c r="M71" s="46">
        <v>0.66900000000000004</v>
      </c>
      <c r="N71" s="46">
        <v>0.68300000000000005</v>
      </c>
      <c r="O71" s="46">
        <v>0.52300000000000002</v>
      </c>
      <c r="P71" s="46">
        <v>0.57899999999999996</v>
      </c>
      <c r="Q71" s="46">
        <v>0.78800000000000003</v>
      </c>
      <c r="R71" s="46">
        <v>6.6</v>
      </c>
      <c r="S71" s="46">
        <v>2.4</v>
      </c>
      <c r="T71" s="46">
        <v>0.40500000000000003</v>
      </c>
      <c r="U71" s="46">
        <v>96</v>
      </c>
      <c r="V71" s="46">
        <v>237</v>
      </c>
      <c r="W71" s="46">
        <v>0.55000000000000004</v>
      </c>
      <c r="X71" s="46">
        <v>2.5</v>
      </c>
      <c r="Y71" s="46">
        <v>7</v>
      </c>
      <c r="Z71" s="46">
        <v>1.01</v>
      </c>
      <c r="AA71" s="46">
        <v>2.8</v>
      </c>
      <c r="AB71" s="46">
        <v>0.621</v>
      </c>
      <c r="AC71" s="46">
        <v>151</v>
      </c>
      <c r="AD71" s="46">
        <v>243</v>
      </c>
      <c r="AE71" s="46">
        <v>0.56000000000000005</v>
      </c>
      <c r="AF71" s="46">
        <v>2.6</v>
      </c>
      <c r="AG71" s="46">
        <v>7.1</v>
      </c>
      <c r="AH71" s="46">
        <v>0.97</v>
      </c>
      <c r="AI71" s="46">
        <v>2.7</v>
      </c>
      <c r="AJ71" s="46">
        <v>0.36099999999999999</v>
      </c>
      <c r="AK71" s="46">
        <v>0.375</v>
      </c>
      <c r="AL71" s="46">
        <v>9.8000000000000004E-2</v>
      </c>
      <c r="AM71" s="46">
        <v>3.6999999999999998E-2</v>
      </c>
      <c r="AN71" s="46">
        <v>0.27600000000000002</v>
      </c>
      <c r="AO71" s="46">
        <v>0.496</v>
      </c>
      <c r="AP71" s="46">
        <v>0.224</v>
      </c>
      <c r="AQ71" s="46">
        <v>6.3</v>
      </c>
      <c r="AR71" s="46">
        <v>2.2999999999999998</v>
      </c>
      <c r="AS71" s="46">
        <v>74.5</v>
      </c>
      <c r="AT71" s="46">
        <v>91.6</v>
      </c>
      <c r="AU71" s="46">
        <v>0.98</v>
      </c>
      <c r="AV71" s="46">
        <v>5528</v>
      </c>
      <c r="AW71" s="46">
        <v>0.5</v>
      </c>
      <c r="AX71" s="46">
        <v>25</v>
      </c>
      <c r="AY71" s="46" t="s">
        <v>375</v>
      </c>
      <c r="AZ71" s="46">
        <v>0.56000000000000005</v>
      </c>
      <c r="BA71" s="46">
        <v>0.26300000000000001</v>
      </c>
      <c r="BB71" s="46">
        <v>95</v>
      </c>
      <c r="BC71" s="46" t="s">
        <v>376</v>
      </c>
      <c r="BD71" s="46">
        <v>0.505</v>
      </c>
      <c r="BE71" s="46">
        <v>863</v>
      </c>
      <c r="BF71" s="46" t="s">
        <v>377</v>
      </c>
      <c r="BG71" s="46">
        <v>0.50800000000000001</v>
      </c>
      <c r="BH71" s="46">
        <v>8.2639000000000004E-2</v>
      </c>
      <c r="BI71" s="46">
        <v>42.7</v>
      </c>
      <c r="BJ71" s="46">
        <v>44.1</v>
      </c>
    </row>
    <row r="72" spans="1:62" x14ac:dyDescent="0.25">
      <c r="A72" s="46" t="s">
        <v>136</v>
      </c>
      <c r="B72" s="46">
        <v>43</v>
      </c>
      <c r="C72" s="46">
        <v>23</v>
      </c>
      <c r="D72" s="46">
        <v>20</v>
      </c>
      <c r="E72" s="52">
        <v>0.53500000000000003</v>
      </c>
      <c r="F72" s="46">
        <v>0.64400000000000002</v>
      </c>
      <c r="G72" s="46">
        <v>0.64300000000000002</v>
      </c>
      <c r="H72" s="46">
        <v>229</v>
      </c>
      <c r="I72" s="46">
        <v>6.5000000000000002E-2</v>
      </c>
      <c r="J72" s="46">
        <v>119</v>
      </c>
      <c r="K72" s="46">
        <v>3.4000000000000002E-2</v>
      </c>
      <c r="L72" s="46">
        <v>8.8999999999999996E-2</v>
      </c>
      <c r="M72" s="46">
        <v>0.623</v>
      </c>
      <c r="N72" s="46">
        <v>0.71099999999999997</v>
      </c>
      <c r="O72" s="46">
        <v>0.53300000000000003</v>
      </c>
      <c r="P72" s="46">
        <v>0.58499999999999996</v>
      </c>
      <c r="Q72" s="46">
        <v>0.80300000000000005</v>
      </c>
      <c r="R72" s="46">
        <v>6.5</v>
      </c>
      <c r="S72" s="46">
        <v>2.2999999999999998</v>
      </c>
      <c r="T72" s="46">
        <v>0.39</v>
      </c>
      <c r="U72" s="46">
        <v>115</v>
      </c>
      <c r="V72" s="46">
        <v>295</v>
      </c>
      <c r="W72" s="46">
        <v>0.55000000000000004</v>
      </c>
      <c r="X72" s="46">
        <v>2.7</v>
      </c>
      <c r="Y72" s="46">
        <v>6.9</v>
      </c>
      <c r="Z72" s="46">
        <v>1.06</v>
      </c>
      <c r="AA72" s="46">
        <v>2.7</v>
      </c>
      <c r="AB72" s="46">
        <v>0.627</v>
      </c>
      <c r="AC72" s="46">
        <v>180</v>
      </c>
      <c r="AD72" s="46">
        <v>287</v>
      </c>
      <c r="AE72" s="46">
        <v>0.53</v>
      </c>
      <c r="AF72" s="46">
        <v>2.7</v>
      </c>
      <c r="AG72" s="46">
        <v>6.7</v>
      </c>
      <c r="AH72" s="46">
        <v>0.99</v>
      </c>
      <c r="AI72" s="46">
        <v>2.5</v>
      </c>
      <c r="AJ72" s="46">
        <v>0.375</v>
      </c>
      <c r="AK72" s="46">
        <v>0.38500000000000001</v>
      </c>
      <c r="AL72" s="46">
        <v>8.1000000000000003E-2</v>
      </c>
      <c r="AM72" s="46">
        <v>3.4000000000000002E-2</v>
      </c>
      <c r="AN72" s="46">
        <v>0.28899999999999998</v>
      </c>
      <c r="AO72" s="46">
        <v>0.503</v>
      </c>
      <c r="AP72" s="46">
        <v>0.215</v>
      </c>
      <c r="AQ72" s="46">
        <v>6.6</v>
      </c>
      <c r="AR72" s="46">
        <v>2.5</v>
      </c>
      <c r="AS72" s="46">
        <v>43</v>
      </c>
      <c r="AT72" s="46">
        <v>54.3</v>
      </c>
      <c r="AU72" s="46">
        <v>1.05</v>
      </c>
      <c r="AV72" s="46">
        <v>7043</v>
      </c>
      <c r="AW72" s="46">
        <v>0.51</v>
      </c>
      <c r="AX72" s="46">
        <v>26</v>
      </c>
      <c r="AY72" s="46">
        <v>45640</v>
      </c>
      <c r="AZ72" s="46">
        <v>0.46200000000000002</v>
      </c>
      <c r="BA72" s="46">
        <v>0.24099999999999999</v>
      </c>
      <c r="BB72" s="46">
        <v>108</v>
      </c>
      <c r="BC72" s="46" t="s">
        <v>378</v>
      </c>
      <c r="BD72" s="46">
        <v>0.5</v>
      </c>
      <c r="BE72" s="46">
        <v>1079</v>
      </c>
      <c r="BF72" s="46" t="s">
        <v>379</v>
      </c>
      <c r="BG72" s="46">
        <v>0.51100000000000001</v>
      </c>
      <c r="BH72" s="46">
        <v>7.7082999999999999E-2</v>
      </c>
      <c r="BI72" s="46">
        <v>44.1</v>
      </c>
      <c r="BJ72" s="46">
        <v>40.6</v>
      </c>
    </row>
    <row r="73" spans="1:62" x14ac:dyDescent="0.25">
      <c r="A73" s="46" t="s">
        <v>137</v>
      </c>
      <c r="B73" s="46">
        <v>34</v>
      </c>
      <c r="C73" s="46">
        <v>18</v>
      </c>
      <c r="D73" s="46">
        <v>16</v>
      </c>
      <c r="E73" s="52">
        <v>0.52900000000000003</v>
      </c>
      <c r="F73" s="46">
        <v>0.627</v>
      </c>
      <c r="G73" s="46">
        <v>0.63500000000000001</v>
      </c>
      <c r="H73" s="46">
        <v>116</v>
      </c>
      <c r="I73" s="46">
        <v>4.3999999999999997E-2</v>
      </c>
      <c r="J73" s="46">
        <v>100</v>
      </c>
      <c r="K73" s="46">
        <v>3.7999999999999999E-2</v>
      </c>
      <c r="L73" s="46">
        <v>0.11600000000000001</v>
      </c>
      <c r="M73" s="46">
        <v>0.66900000000000004</v>
      </c>
      <c r="N73" s="46">
        <v>0.70099999999999996</v>
      </c>
      <c r="O73" s="46">
        <v>0.47799999999999998</v>
      </c>
      <c r="P73" s="46">
        <v>0.54100000000000004</v>
      </c>
      <c r="Q73" s="46">
        <v>0.8</v>
      </c>
      <c r="R73" s="46">
        <v>6.5</v>
      </c>
      <c r="S73" s="46">
        <v>2.4</v>
      </c>
      <c r="T73" s="46">
        <v>0.42899999999999999</v>
      </c>
      <c r="U73" s="46">
        <v>84</v>
      </c>
      <c r="V73" s="46">
        <v>196</v>
      </c>
      <c r="W73" s="46">
        <v>0.49</v>
      </c>
      <c r="X73" s="46">
        <v>2.4</v>
      </c>
      <c r="Y73" s="46">
        <v>5.8</v>
      </c>
      <c r="Z73" s="46">
        <v>1.02</v>
      </c>
      <c r="AA73" s="46">
        <v>2.5</v>
      </c>
      <c r="AB73" s="46">
        <v>0.64400000000000002</v>
      </c>
      <c r="AC73" s="46">
        <v>145</v>
      </c>
      <c r="AD73" s="46">
        <v>225</v>
      </c>
      <c r="AE73" s="46">
        <v>0.56000000000000005</v>
      </c>
      <c r="AF73" s="46">
        <v>2.7</v>
      </c>
      <c r="AG73" s="46">
        <v>6.6</v>
      </c>
      <c r="AH73" s="46">
        <v>0.98</v>
      </c>
      <c r="AI73" s="46">
        <v>2.4</v>
      </c>
      <c r="AJ73" s="46">
        <v>0.36199999999999999</v>
      </c>
      <c r="AK73" s="46">
        <v>0.36599999999999999</v>
      </c>
      <c r="AL73" s="46">
        <v>6.5000000000000002E-2</v>
      </c>
      <c r="AM73" s="46">
        <v>3.1E-2</v>
      </c>
      <c r="AN73" s="46">
        <v>0.28100000000000003</v>
      </c>
      <c r="AO73" s="46">
        <v>0.49</v>
      </c>
      <c r="AP73" s="46">
        <v>0.20799999999999999</v>
      </c>
      <c r="AQ73" s="46">
        <v>6.3</v>
      </c>
      <c r="AR73" s="46">
        <v>2.2999999999999998</v>
      </c>
      <c r="AS73" s="46">
        <v>59</v>
      </c>
      <c r="AT73" s="46">
        <v>112.6</v>
      </c>
      <c r="AU73" s="46">
        <v>0.97</v>
      </c>
      <c r="AV73" s="46">
        <v>5147</v>
      </c>
      <c r="AW73" s="46">
        <v>0.497</v>
      </c>
      <c r="AX73" s="46">
        <v>14</v>
      </c>
      <c r="AY73" s="46">
        <v>45451</v>
      </c>
      <c r="AZ73" s="46">
        <v>0.42899999999999999</v>
      </c>
      <c r="BA73" s="46">
        <v>0.17100000000000001</v>
      </c>
      <c r="BB73" s="46">
        <v>82</v>
      </c>
      <c r="BC73" s="46" t="s">
        <v>380</v>
      </c>
      <c r="BD73" s="46">
        <v>0.51200000000000001</v>
      </c>
      <c r="BE73" s="46">
        <v>805</v>
      </c>
      <c r="BF73" s="46" t="s">
        <v>381</v>
      </c>
      <c r="BG73" s="46">
        <v>0.503</v>
      </c>
      <c r="BH73" s="46">
        <v>7.9861000000000001E-2</v>
      </c>
      <c r="BI73" s="46">
        <v>47.6</v>
      </c>
      <c r="BJ73" s="46">
        <v>45.5</v>
      </c>
    </row>
    <row r="74" spans="1:62" x14ac:dyDescent="0.25">
      <c r="A74" s="46" t="s">
        <v>138</v>
      </c>
      <c r="B74" s="46">
        <v>31</v>
      </c>
      <c r="C74" s="46">
        <v>14</v>
      </c>
      <c r="D74" s="46">
        <v>17</v>
      </c>
      <c r="E74" s="52">
        <v>0.45200000000000001</v>
      </c>
      <c r="F74" s="46">
        <v>0.60799999999999998</v>
      </c>
      <c r="G74" s="46">
        <v>0.61699999999999999</v>
      </c>
      <c r="H74" s="46">
        <v>87</v>
      </c>
      <c r="I74" s="46">
        <v>3.9E-2</v>
      </c>
      <c r="J74" s="46">
        <v>89</v>
      </c>
      <c r="K74" s="46">
        <v>0.04</v>
      </c>
      <c r="L74" s="46">
        <v>0.126</v>
      </c>
      <c r="M74" s="46">
        <v>0.68</v>
      </c>
      <c r="N74" s="46">
        <v>0.67100000000000004</v>
      </c>
      <c r="O74" s="46">
        <v>0.47399999999999998</v>
      </c>
      <c r="P74" s="46">
        <v>0.54200000000000004</v>
      </c>
      <c r="Q74" s="46">
        <v>0.73799999999999999</v>
      </c>
      <c r="R74" s="46">
        <v>6.4</v>
      </c>
      <c r="S74" s="46">
        <v>2.5</v>
      </c>
      <c r="T74" s="46">
        <v>0.39600000000000002</v>
      </c>
      <c r="U74" s="46">
        <v>97</v>
      </c>
      <c r="V74" s="46">
        <v>245</v>
      </c>
      <c r="W74" s="46">
        <v>0.71</v>
      </c>
      <c r="X74" s="46">
        <v>3.2</v>
      </c>
      <c r="Y74" s="46">
        <v>7.9</v>
      </c>
      <c r="Z74" s="46">
        <v>1.28</v>
      </c>
      <c r="AA74" s="46">
        <v>3.1</v>
      </c>
      <c r="AB74" s="46">
        <v>0.58799999999999997</v>
      </c>
      <c r="AC74" s="46">
        <v>130</v>
      </c>
      <c r="AD74" s="46">
        <v>221</v>
      </c>
      <c r="AE74" s="46">
        <v>0.64</v>
      </c>
      <c r="AF74" s="46">
        <v>2.9</v>
      </c>
      <c r="AG74" s="46">
        <v>7.1</v>
      </c>
      <c r="AH74" s="46">
        <v>1.2</v>
      </c>
      <c r="AI74" s="46">
        <v>2.9</v>
      </c>
      <c r="AJ74" s="46">
        <v>0.41499999999999998</v>
      </c>
      <c r="AK74" s="46">
        <v>0.41299999999999998</v>
      </c>
      <c r="AL74" s="46">
        <v>4.2000000000000003E-2</v>
      </c>
      <c r="AM74" s="46">
        <v>3.3000000000000002E-2</v>
      </c>
      <c r="AN74" s="46">
        <v>0.35299999999999998</v>
      </c>
      <c r="AO74" s="46">
        <v>0.52700000000000002</v>
      </c>
      <c r="AP74" s="46">
        <v>0.28199999999999997</v>
      </c>
      <c r="AQ74" s="46">
        <v>6.6</v>
      </c>
      <c r="AR74" s="46">
        <v>2.8</v>
      </c>
      <c r="AS74" s="46">
        <v>80</v>
      </c>
      <c r="AT74" s="46">
        <v>102.6</v>
      </c>
      <c r="AU74" s="46">
        <v>1.06</v>
      </c>
      <c r="AV74" s="46">
        <v>4494</v>
      </c>
      <c r="AW74" s="46">
        <v>0.51</v>
      </c>
      <c r="AX74" s="46">
        <v>4</v>
      </c>
      <c r="AY74" s="46">
        <v>45324</v>
      </c>
      <c r="AZ74" s="46">
        <v>0.5</v>
      </c>
      <c r="BA74" s="46">
        <v>5.2999999999999999E-2</v>
      </c>
      <c r="BB74" s="46">
        <v>76</v>
      </c>
      <c r="BC74" s="46" t="s">
        <v>382</v>
      </c>
      <c r="BD74" s="46">
        <v>0.5</v>
      </c>
      <c r="BE74" s="46">
        <v>691</v>
      </c>
      <c r="BF74" s="46" t="s">
        <v>383</v>
      </c>
      <c r="BG74" s="46">
        <v>0.51100000000000001</v>
      </c>
      <c r="BH74" s="46">
        <v>7.9167000000000001E-2</v>
      </c>
      <c r="BI74" s="46">
        <v>46.5</v>
      </c>
      <c r="BJ74" s="46">
        <v>47.2</v>
      </c>
    </row>
    <row r="75" spans="1:62" x14ac:dyDescent="0.25">
      <c r="A75" s="46" t="s">
        <v>139</v>
      </c>
      <c r="B75" s="46">
        <v>16</v>
      </c>
      <c r="C75" s="46">
        <v>11</v>
      </c>
      <c r="D75" s="46">
        <v>5</v>
      </c>
      <c r="E75" s="52">
        <v>0.68799999999999994</v>
      </c>
      <c r="F75" s="46">
        <v>0.65800000000000003</v>
      </c>
      <c r="G75" s="46">
        <v>0.63600000000000001</v>
      </c>
      <c r="H75" s="46">
        <v>161</v>
      </c>
      <c r="I75" s="46">
        <v>0.114</v>
      </c>
      <c r="J75" s="46">
        <v>44</v>
      </c>
      <c r="K75" s="46">
        <v>3.1E-2</v>
      </c>
      <c r="L75" s="46">
        <v>7.8E-2</v>
      </c>
      <c r="M75" s="46">
        <v>0.59799999999999998</v>
      </c>
      <c r="N75" s="46">
        <v>0.748</v>
      </c>
      <c r="O75" s="46">
        <v>0.52300000000000002</v>
      </c>
      <c r="P75" s="46">
        <v>0.56699999999999995</v>
      </c>
      <c r="Q75" s="46">
        <v>0.84399999999999997</v>
      </c>
      <c r="R75" s="46">
        <v>6.5</v>
      </c>
      <c r="S75" s="46">
        <v>2.2000000000000002</v>
      </c>
      <c r="T75" s="46">
        <v>0.42</v>
      </c>
      <c r="U75" s="46">
        <v>37</v>
      </c>
      <c r="V75" s="46">
        <v>88</v>
      </c>
      <c r="W75" s="46">
        <v>0.4</v>
      </c>
      <c r="X75" s="46">
        <v>2</v>
      </c>
      <c r="Y75" s="46">
        <v>5.5</v>
      </c>
      <c r="Z75" s="46">
        <v>0.82</v>
      </c>
      <c r="AA75" s="46">
        <v>2.2999999999999998</v>
      </c>
      <c r="AB75" s="46">
        <v>0.67300000000000004</v>
      </c>
      <c r="AC75" s="46">
        <v>70</v>
      </c>
      <c r="AD75" s="46">
        <v>104</v>
      </c>
      <c r="AE75" s="46">
        <v>0.48</v>
      </c>
      <c r="AF75" s="46">
        <v>2.2999999999999998</v>
      </c>
      <c r="AG75" s="46">
        <v>6.5</v>
      </c>
      <c r="AH75" s="46">
        <v>0.76</v>
      </c>
      <c r="AI75" s="46">
        <v>2.1</v>
      </c>
      <c r="AJ75" s="46">
        <v>0.33800000000000002</v>
      </c>
      <c r="AK75" s="46">
        <v>0.34799999999999998</v>
      </c>
      <c r="AL75" s="46">
        <v>8.7999999999999995E-2</v>
      </c>
      <c r="AM75" s="46">
        <v>3.1E-2</v>
      </c>
      <c r="AN75" s="46">
        <v>0.245</v>
      </c>
      <c r="AO75" s="46">
        <v>0.48899999999999999</v>
      </c>
      <c r="AP75" s="46">
        <v>0.16900000000000001</v>
      </c>
      <c r="AQ75" s="46">
        <v>6.2</v>
      </c>
      <c r="AR75" s="46">
        <v>2.1</v>
      </c>
      <c r="AS75" s="46">
        <v>40.5</v>
      </c>
      <c r="AT75" s="46">
        <v>80.7</v>
      </c>
      <c r="AU75" s="46">
        <v>0.99</v>
      </c>
      <c r="AV75" s="46">
        <v>2765</v>
      </c>
      <c r="AW75" s="46">
        <v>0.501</v>
      </c>
      <c r="AX75" s="46">
        <v>12</v>
      </c>
      <c r="AY75" s="46">
        <v>45538</v>
      </c>
      <c r="AZ75" s="46">
        <v>0.75</v>
      </c>
      <c r="BA75" s="46">
        <v>0.26700000000000002</v>
      </c>
      <c r="BB75" s="46">
        <v>45</v>
      </c>
      <c r="BC75" s="46" t="s">
        <v>384</v>
      </c>
      <c r="BD75" s="46">
        <v>0.622</v>
      </c>
      <c r="BE75" s="46">
        <v>437</v>
      </c>
      <c r="BF75" s="46" t="s">
        <v>385</v>
      </c>
      <c r="BG75" s="46">
        <v>0.50600000000000001</v>
      </c>
      <c r="BH75" s="46">
        <v>8.4028000000000005E-2</v>
      </c>
      <c r="BI75" s="46">
        <v>43.1</v>
      </c>
      <c r="BJ75" s="46">
        <v>42.1</v>
      </c>
    </row>
    <row r="76" spans="1:62" x14ac:dyDescent="0.25">
      <c r="A76" s="46" t="s">
        <v>140</v>
      </c>
      <c r="B76" s="46">
        <v>12</v>
      </c>
      <c r="C76" s="46">
        <v>5</v>
      </c>
      <c r="D76" s="46">
        <v>7</v>
      </c>
      <c r="E76" s="52">
        <v>0.41699999999999998</v>
      </c>
      <c r="F76" s="46">
        <v>0.65500000000000003</v>
      </c>
      <c r="G76" s="46">
        <v>0.624</v>
      </c>
      <c r="H76" s="46">
        <v>130</v>
      </c>
      <c r="I76" s="46">
        <v>0.121</v>
      </c>
      <c r="J76" s="46">
        <v>24</v>
      </c>
      <c r="K76" s="46">
        <v>2.1999999999999999E-2</v>
      </c>
      <c r="L76" s="46">
        <v>5.6000000000000001E-2</v>
      </c>
      <c r="M76" s="46">
        <v>0.59899999999999998</v>
      </c>
      <c r="N76" s="46">
        <v>0.76400000000000001</v>
      </c>
      <c r="O76" s="46">
        <v>0.49199999999999999</v>
      </c>
      <c r="P76" s="46">
        <v>0.52100000000000002</v>
      </c>
      <c r="Q76" s="46">
        <v>0.85699999999999998</v>
      </c>
      <c r="R76" s="46">
        <v>6.4</v>
      </c>
      <c r="S76" s="46">
        <v>2.2000000000000002</v>
      </c>
      <c r="T76" s="46">
        <v>0.39700000000000002</v>
      </c>
      <c r="U76" s="46">
        <v>31</v>
      </c>
      <c r="V76" s="46">
        <v>78</v>
      </c>
      <c r="W76" s="46">
        <v>0.47</v>
      </c>
      <c r="X76" s="46">
        <v>2.4</v>
      </c>
      <c r="Y76" s="46">
        <v>6.5</v>
      </c>
      <c r="Z76" s="46">
        <v>0.94</v>
      </c>
      <c r="AA76" s="46">
        <v>2.6</v>
      </c>
      <c r="AB76" s="46">
        <v>0.66700000000000004</v>
      </c>
      <c r="AC76" s="46">
        <v>48</v>
      </c>
      <c r="AD76" s="46">
        <v>72</v>
      </c>
      <c r="AE76" s="46">
        <v>0.43</v>
      </c>
      <c r="AF76" s="46">
        <v>2.2000000000000002</v>
      </c>
      <c r="AG76" s="46">
        <v>6</v>
      </c>
      <c r="AH76" s="46">
        <v>0.73</v>
      </c>
      <c r="AI76" s="46">
        <v>2</v>
      </c>
      <c r="AJ76" s="46">
        <v>0.34599999999999997</v>
      </c>
      <c r="AK76" s="46">
        <v>0.34499999999999997</v>
      </c>
      <c r="AL76" s="46">
        <v>0.06</v>
      </c>
      <c r="AM76" s="46">
        <v>3.4000000000000002E-2</v>
      </c>
      <c r="AN76" s="46">
        <v>0.26600000000000001</v>
      </c>
      <c r="AO76" s="46">
        <v>0.47799999999999998</v>
      </c>
      <c r="AP76" s="46">
        <v>0.188</v>
      </c>
      <c r="AQ76" s="46">
        <v>6.4</v>
      </c>
      <c r="AR76" s="46">
        <v>2.2000000000000002</v>
      </c>
      <c r="AS76" s="46">
        <v>30.5</v>
      </c>
      <c r="AT76" s="46">
        <v>57.3</v>
      </c>
      <c r="AU76" s="46">
        <v>1</v>
      </c>
      <c r="AV76" s="46">
        <v>2127</v>
      </c>
      <c r="AW76" s="46">
        <v>0.503</v>
      </c>
      <c r="AX76" s="46">
        <v>8</v>
      </c>
      <c r="AY76" s="46">
        <v>45328</v>
      </c>
      <c r="AZ76" s="46">
        <v>0.25</v>
      </c>
      <c r="BA76" s="46">
        <v>0.24199999999999999</v>
      </c>
      <c r="BB76" s="46">
        <v>33</v>
      </c>
      <c r="BC76" s="46" t="s">
        <v>386</v>
      </c>
      <c r="BD76" s="46">
        <v>0.45500000000000002</v>
      </c>
      <c r="BE76" s="46">
        <v>333</v>
      </c>
      <c r="BF76" s="46" t="s">
        <v>387</v>
      </c>
      <c r="BG76" s="46">
        <v>0.52600000000000002</v>
      </c>
      <c r="BH76" s="46">
        <v>9.4444E-2</v>
      </c>
      <c r="BI76" s="46">
        <v>49.6</v>
      </c>
      <c r="BJ76" s="46">
        <v>46.1</v>
      </c>
    </row>
    <row r="77" spans="1:62" x14ac:dyDescent="0.25">
      <c r="A77" s="46" t="s">
        <v>141</v>
      </c>
      <c r="B77" s="46">
        <v>39</v>
      </c>
      <c r="C77" s="46">
        <v>19</v>
      </c>
      <c r="D77" s="46">
        <v>20</v>
      </c>
      <c r="E77" s="52">
        <v>0.48699999999999999</v>
      </c>
      <c r="F77" s="46">
        <v>0.61799999999999999</v>
      </c>
      <c r="G77" s="46">
        <v>0.61699999999999999</v>
      </c>
      <c r="H77" s="46">
        <v>163</v>
      </c>
      <c r="I77" s="46">
        <v>5.6000000000000001E-2</v>
      </c>
      <c r="J77" s="46">
        <v>96</v>
      </c>
      <c r="K77" s="46">
        <v>3.3000000000000002E-2</v>
      </c>
      <c r="L77" s="46">
        <v>0.09</v>
      </c>
      <c r="M77" s="46">
        <v>0.63800000000000001</v>
      </c>
      <c r="N77" s="46">
        <v>0.68899999999999995</v>
      </c>
      <c r="O77" s="46">
        <v>0.49299999999999999</v>
      </c>
      <c r="P77" s="46">
        <v>0.54200000000000004</v>
      </c>
      <c r="Q77" s="46">
        <v>0.76400000000000001</v>
      </c>
      <c r="R77" s="46">
        <v>6.4</v>
      </c>
      <c r="S77" s="46">
        <v>2.4</v>
      </c>
      <c r="T77" s="46">
        <v>0.39300000000000002</v>
      </c>
      <c r="U77" s="46">
        <v>108</v>
      </c>
      <c r="V77" s="46">
        <v>275</v>
      </c>
      <c r="W77" s="46">
        <v>0.6</v>
      </c>
      <c r="X77" s="46">
        <v>2.8</v>
      </c>
      <c r="Y77" s="46">
        <v>7.1</v>
      </c>
      <c r="Z77" s="46">
        <v>1.1100000000000001</v>
      </c>
      <c r="AA77" s="46">
        <v>2.8</v>
      </c>
      <c r="AB77" s="46">
        <v>0.60099999999999998</v>
      </c>
      <c r="AC77" s="46">
        <v>164</v>
      </c>
      <c r="AD77" s="46">
        <v>273</v>
      </c>
      <c r="AE77" s="46">
        <v>0.59</v>
      </c>
      <c r="AF77" s="46">
        <v>2.8</v>
      </c>
      <c r="AG77" s="46">
        <v>7</v>
      </c>
      <c r="AH77" s="46">
        <v>1.1200000000000001</v>
      </c>
      <c r="AI77" s="46">
        <v>2.8</v>
      </c>
      <c r="AJ77" s="46">
        <v>0.38600000000000001</v>
      </c>
      <c r="AK77" s="46">
        <v>0.38100000000000001</v>
      </c>
      <c r="AL77" s="46">
        <v>6.8000000000000005E-2</v>
      </c>
      <c r="AM77" s="46">
        <v>0.05</v>
      </c>
      <c r="AN77" s="46">
        <v>0.29399999999999998</v>
      </c>
      <c r="AO77" s="46">
        <v>0.52800000000000002</v>
      </c>
      <c r="AP77" s="46">
        <v>0.23499999999999999</v>
      </c>
      <c r="AQ77" s="46">
        <v>6.5</v>
      </c>
      <c r="AR77" s="46">
        <v>2.5</v>
      </c>
      <c r="AS77" s="46">
        <v>55</v>
      </c>
      <c r="AT77" s="46">
        <v>83.2</v>
      </c>
      <c r="AU77" s="46">
        <v>1.01</v>
      </c>
      <c r="AV77" s="46">
        <v>5924</v>
      </c>
      <c r="AW77" s="46">
        <v>0.501</v>
      </c>
      <c r="AX77" s="46">
        <v>13</v>
      </c>
      <c r="AY77" s="46">
        <v>45450</v>
      </c>
      <c r="AZ77" s="46">
        <v>0.46200000000000002</v>
      </c>
      <c r="BA77" s="46">
        <v>0.13400000000000001</v>
      </c>
      <c r="BB77" s="46">
        <v>97</v>
      </c>
      <c r="BC77" s="46" t="s">
        <v>388</v>
      </c>
      <c r="BD77" s="46">
        <v>0.495</v>
      </c>
      <c r="BE77" s="46">
        <v>921</v>
      </c>
      <c r="BF77" s="46" t="s">
        <v>389</v>
      </c>
      <c r="BG77" s="46">
        <v>0.499</v>
      </c>
      <c r="BH77" s="46">
        <v>7.2916999999999996E-2</v>
      </c>
      <c r="BI77" s="46">
        <v>42.2</v>
      </c>
      <c r="BJ77" s="46">
        <v>41.4</v>
      </c>
    </row>
    <row r="78" spans="1:62" x14ac:dyDescent="0.25">
      <c r="A78" s="46" t="s">
        <v>142</v>
      </c>
      <c r="B78" s="46">
        <v>34</v>
      </c>
      <c r="C78" s="46">
        <v>14</v>
      </c>
      <c r="D78" s="46">
        <v>20</v>
      </c>
      <c r="E78" s="52">
        <v>0.41199999999999998</v>
      </c>
      <c r="F78" s="46">
        <v>0.65900000000000003</v>
      </c>
      <c r="G78" s="46">
        <v>0.63600000000000001</v>
      </c>
      <c r="H78" s="46">
        <v>336</v>
      </c>
      <c r="I78" s="46">
        <v>0.122</v>
      </c>
      <c r="J78" s="46">
        <v>92</v>
      </c>
      <c r="K78" s="46">
        <v>3.3000000000000002E-2</v>
      </c>
      <c r="L78" s="46">
        <v>9.0999999999999998E-2</v>
      </c>
      <c r="M78" s="46">
        <v>0.63100000000000001</v>
      </c>
      <c r="N78" s="46">
        <v>0.76400000000000001</v>
      </c>
      <c r="O78" s="46">
        <v>0.48</v>
      </c>
      <c r="P78" s="46">
        <v>0.52800000000000002</v>
      </c>
      <c r="Q78" s="46">
        <v>0.83099999999999996</v>
      </c>
      <c r="R78" s="46">
        <v>6.4</v>
      </c>
      <c r="S78" s="46">
        <v>2.2000000000000002</v>
      </c>
      <c r="T78" s="46">
        <v>0.36899999999999999</v>
      </c>
      <c r="U78" s="46">
        <v>69</v>
      </c>
      <c r="V78" s="46">
        <v>187</v>
      </c>
      <c r="W78" s="46">
        <v>0.43</v>
      </c>
      <c r="X78" s="46">
        <v>2.1</v>
      </c>
      <c r="Y78" s="46">
        <v>5.5</v>
      </c>
      <c r="Z78" s="46">
        <v>0.79</v>
      </c>
      <c r="AA78" s="46">
        <v>2</v>
      </c>
      <c r="AB78" s="46">
        <v>0.622</v>
      </c>
      <c r="AC78" s="46">
        <v>120</v>
      </c>
      <c r="AD78" s="46">
        <v>193</v>
      </c>
      <c r="AE78" s="46">
        <v>0.45</v>
      </c>
      <c r="AF78" s="46">
        <v>2.2000000000000002</v>
      </c>
      <c r="AG78" s="46">
        <v>5.7</v>
      </c>
      <c r="AH78" s="46">
        <v>0.84</v>
      </c>
      <c r="AI78" s="46">
        <v>2.1</v>
      </c>
      <c r="AJ78" s="46">
        <v>0.32900000000000001</v>
      </c>
      <c r="AK78" s="46">
        <v>0.32400000000000001</v>
      </c>
      <c r="AL78" s="46">
        <v>6.5000000000000002E-2</v>
      </c>
      <c r="AM78" s="46">
        <v>3.7999999999999999E-2</v>
      </c>
      <c r="AN78" s="46">
        <v>0.25</v>
      </c>
      <c r="AO78" s="46">
        <v>0.45</v>
      </c>
      <c r="AP78" s="46">
        <v>0.158</v>
      </c>
      <c r="AQ78" s="46">
        <v>6.2</v>
      </c>
      <c r="AR78" s="46">
        <v>2</v>
      </c>
      <c r="AS78" s="46">
        <v>72.5</v>
      </c>
      <c r="AT78" s="46">
        <v>88.5</v>
      </c>
      <c r="AU78" s="46">
        <v>0.97</v>
      </c>
      <c r="AV78" s="46">
        <v>5472</v>
      </c>
      <c r="AW78" s="46">
        <v>0.495</v>
      </c>
      <c r="AX78" s="46">
        <v>24</v>
      </c>
      <c r="AY78" s="46">
        <v>45579</v>
      </c>
      <c r="AZ78" s="46">
        <v>0.41699999999999998</v>
      </c>
      <c r="BA78" s="46">
        <v>0.27600000000000002</v>
      </c>
      <c r="BB78" s="46">
        <v>87</v>
      </c>
      <c r="BC78" s="46" t="s">
        <v>390</v>
      </c>
      <c r="BD78" s="46">
        <v>0.44800000000000001</v>
      </c>
      <c r="BE78" s="46">
        <v>871</v>
      </c>
      <c r="BF78" s="46" t="s">
        <v>391</v>
      </c>
      <c r="BG78" s="46">
        <v>0.49299999999999999</v>
      </c>
      <c r="BH78" s="46">
        <v>8.4028000000000005E-2</v>
      </c>
      <c r="BI78" s="46">
        <v>47.4</v>
      </c>
      <c r="BJ78" s="46">
        <v>45.2</v>
      </c>
    </row>
    <row r="79" spans="1:62" x14ac:dyDescent="0.25">
      <c r="A79" s="46" t="s">
        <v>143</v>
      </c>
      <c r="B79" s="46">
        <v>35</v>
      </c>
      <c r="C79" s="46">
        <v>16</v>
      </c>
      <c r="D79" s="46">
        <v>19</v>
      </c>
      <c r="E79" s="52">
        <v>0.45700000000000002</v>
      </c>
      <c r="F79" s="46">
        <v>0.61299999999999999</v>
      </c>
      <c r="G79" s="46">
        <v>0.61699999999999999</v>
      </c>
      <c r="H79" s="46">
        <v>59</v>
      </c>
      <c r="I79" s="46">
        <v>2.1000000000000001E-2</v>
      </c>
      <c r="J79" s="46">
        <v>57</v>
      </c>
      <c r="K79" s="46">
        <v>0.02</v>
      </c>
      <c r="L79" s="46">
        <v>5.5E-2</v>
      </c>
      <c r="M79" s="46">
        <v>0.63</v>
      </c>
      <c r="N79" s="46">
        <v>0.66200000000000003</v>
      </c>
      <c r="O79" s="46">
        <v>0.52800000000000002</v>
      </c>
      <c r="P79" s="46">
        <v>0.55900000000000005</v>
      </c>
      <c r="Q79" s="46">
        <v>0.73699999999999999</v>
      </c>
      <c r="R79" s="46">
        <v>6.3</v>
      </c>
      <c r="S79" s="46">
        <v>2.4</v>
      </c>
      <c r="T79" s="46">
        <v>0.375</v>
      </c>
      <c r="U79" s="46">
        <v>87</v>
      </c>
      <c r="V79" s="46">
        <v>232</v>
      </c>
      <c r="W79" s="46">
        <v>0.51</v>
      </c>
      <c r="X79" s="46">
        <v>2.4</v>
      </c>
      <c r="Y79" s="46">
        <v>6.6</v>
      </c>
      <c r="Z79" s="46">
        <v>0.92</v>
      </c>
      <c r="AA79" s="46">
        <v>2.5</v>
      </c>
      <c r="AB79" s="46">
        <v>0.52</v>
      </c>
      <c r="AC79" s="46">
        <v>127</v>
      </c>
      <c r="AD79" s="46">
        <v>244</v>
      </c>
      <c r="AE79" s="46">
        <v>0.55000000000000004</v>
      </c>
      <c r="AF79" s="46">
        <v>2.6</v>
      </c>
      <c r="AG79" s="46">
        <v>7</v>
      </c>
      <c r="AH79" s="46">
        <v>1.23</v>
      </c>
      <c r="AI79" s="46">
        <v>3.3</v>
      </c>
      <c r="AJ79" s="46">
        <v>0.35699999999999998</v>
      </c>
      <c r="AK79" s="46">
        <v>0.379</v>
      </c>
      <c r="AL79" s="46">
        <v>0.12</v>
      </c>
      <c r="AM79" s="46">
        <v>3.7999999999999999E-2</v>
      </c>
      <c r="AN79" s="46">
        <v>0.25900000000000001</v>
      </c>
      <c r="AO79" s="46">
        <v>0.505</v>
      </c>
      <c r="AP79" s="46">
        <v>0.192</v>
      </c>
      <c r="AQ79" s="46">
        <v>6.5</v>
      </c>
      <c r="AR79" s="46">
        <v>2.2999999999999998</v>
      </c>
      <c r="AS79" s="46">
        <v>55</v>
      </c>
      <c r="AT79" s="46">
        <v>69.7</v>
      </c>
      <c r="AU79" s="46">
        <v>0.92</v>
      </c>
      <c r="AV79" s="46">
        <v>5713</v>
      </c>
      <c r="AW79" s="46">
        <v>0.48099999999999998</v>
      </c>
      <c r="AX79" s="46">
        <v>14</v>
      </c>
      <c r="AY79" s="46">
        <v>45510</v>
      </c>
      <c r="AZ79" s="46">
        <v>0.57099999999999995</v>
      </c>
      <c r="BA79" s="46">
        <v>0.14699999999999999</v>
      </c>
      <c r="BB79" s="46">
        <v>95</v>
      </c>
      <c r="BC79" s="46" t="s">
        <v>392</v>
      </c>
      <c r="BD79" s="46">
        <v>0.432</v>
      </c>
      <c r="BE79" s="46">
        <v>898</v>
      </c>
      <c r="BF79" s="46" t="s">
        <v>393</v>
      </c>
      <c r="BG79" s="46">
        <v>0.46200000000000002</v>
      </c>
      <c r="BH79" s="46">
        <v>8.4722000000000006E-2</v>
      </c>
      <c r="BI79" s="46">
        <v>45.1</v>
      </c>
      <c r="BJ79" s="46">
        <v>45</v>
      </c>
    </row>
    <row r="80" spans="1:62" x14ac:dyDescent="0.25">
      <c r="A80" s="46" t="s">
        <v>144</v>
      </c>
      <c r="B80" s="46">
        <v>32</v>
      </c>
      <c r="C80" s="46">
        <v>16</v>
      </c>
      <c r="D80" s="46">
        <v>16</v>
      </c>
      <c r="E80" s="52">
        <v>0.5</v>
      </c>
      <c r="F80" s="46">
        <v>0.61399999999999999</v>
      </c>
      <c r="G80" s="46">
        <v>0.61599999999999999</v>
      </c>
      <c r="H80" s="46">
        <v>147</v>
      </c>
      <c r="I80" s="46">
        <v>5.7000000000000002E-2</v>
      </c>
      <c r="J80" s="46">
        <v>101</v>
      </c>
      <c r="K80" s="46">
        <v>3.9E-2</v>
      </c>
      <c r="L80" s="46">
        <v>9.0999999999999998E-2</v>
      </c>
      <c r="M80" s="46">
        <v>0.56999999999999995</v>
      </c>
      <c r="N80" s="46">
        <v>0.70599999999999996</v>
      </c>
      <c r="O80" s="46">
        <v>0.49099999999999999</v>
      </c>
      <c r="P80" s="46">
        <v>0.54100000000000004</v>
      </c>
      <c r="Q80" s="46">
        <v>0.76900000000000002</v>
      </c>
      <c r="R80" s="46">
        <v>6.7</v>
      </c>
      <c r="S80" s="46">
        <v>2.6</v>
      </c>
      <c r="T80" s="46">
        <v>0.34100000000000003</v>
      </c>
      <c r="U80" s="46">
        <v>87</v>
      </c>
      <c r="V80" s="46">
        <v>255</v>
      </c>
      <c r="W80" s="46">
        <v>0.65</v>
      </c>
      <c r="X80" s="46">
        <v>3.1</v>
      </c>
      <c r="Y80" s="46">
        <v>8</v>
      </c>
      <c r="Z80" s="46">
        <v>1.07</v>
      </c>
      <c r="AA80" s="46">
        <v>2.7</v>
      </c>
      <c r="AB80" s="46">
        <v>0.63300000000000001</v>
      </c>
      <c r="AC80" s="46">
        <v>155</v>
      </c>
      <c r="AD80" s="46">
        <v>245</v>
      </c>
      <c r="AE80" s="46">
        <v>0.63</v>
      </c>
      <c r="AF80" s="46">
        <v>3</v>
      </c>
      <c r="AG80" s="46">
        <v>7.7</v>
      </c>
      <c r="AH80" s="46">
        <v>1.1100000000000001</v>
      </c>
      <c r="AI80" s="46">
        <v>2.8</v>
      </c>
      <c r="AJ80" s="46">
        <v>0.375</v>
      </c>
      <c r="AK80" s="46">
        <v>0.39200000000000002</v>
      </c>
      <c r="AL80" s="46">
        <v>9.8000000000000004E-2</v>
      </c>
      <c r="AM80" s="46">
        <v>3.5999999999999997E-2</v>
      </c>
      <c r="AN80" s="46">
        <v>0.28899999999999998</v>
      </c>
      <c r="AO80" s="46">
        <v>0.51300000000000001</v>
      </c>
      <c r="AP80" s="46">
        <v>0.222</v>
      </c>
      <c r="AQ80" s="46">
        <v>6.6</v>
      </c>
      <c r="AR80" s="46">
        <v>2.5</v>
      </c>
      <c r="AS80" s="46">
        <v>66</v>
      </c>
      <c r="AT80" s="46">
        <v>81.099999999999994</v>
      </c>
      <c r="AU80" s="46">
        <v>0.97</v>
      </c>
      <c r="AV80" s="46">
        <v>5179</v>
      </c>
      <c r="AW80" s="46">
        <v>0.49399999999999999</v>
      </c>
      <c r="AX80" s="46">
        <v>14</v>
      </c>
      <c r="AY80" s="46">
        <v>45480</v>
      </c>
      <c r="AZ80" s="46">
        <v>0.5</v>
      </c>
      <c r="BA80" s="46">
        <v>0.17299999999999999</v>
      </c>
      <c r="BB80" s="46">
        <v>81</v>
      </c>
      <c r="BC80" s="46" t="s">
        <v>394</v>
      </c>
      <c r="BD80" s="46">
        <v>0.46899999999999997</v>
      </c>
      <c r="BE80" s="46">
        <v>781</v>
      </c>
      <c r="BF80" s="46" t="s">
        <v>395</v>
      </c>
      <c r="BG80" s="46">
        <v>0.49399999999999999</v>
      </c>
      <c r="BH80" s="46">
        <v>8.4722000000000006E-2</v>
      </c>
      <c r="BI80" s="46">
        <v>48.1</v>
      </c>
      <c r="BJ80" s="46">
        <v>45.1</v>
      </c>
    </row>
    <row r="81" spans="1:62" x14ac:dyDescent="0.25">
      <c r="A81" s="46" t="s">
        <v>145</v>
      </c>
      <c r="B81" s="46">
        <v>42</v>
      </c>
      <c r="C81" s="46">
        <v>14</v>
      </c>
      <c r="D81" s="46">
        <v>28</v>
      </c>
      <c r="E81" s="52">
        <v>0.33300000000000002</v>
      </c>
      <c r="F81" s="46">
        <v>0.63100000000000001</v>
      </c>
      <c r="G81" s="46">
        <v>0.61199999999999999</v>
      </c>
      <c r="H81" s="46">
        <v>364</v>
      </c>
      <c r="I81" s="46">
        <v>0.106</v>
      </c>
      <c r="J81" s="46">
        <v>122</v>
      </c>
      <c r="K81" s="46">
        <v>3.5000000000000003E-2</v>
      </c>
      <c r="L81" s="46">
        <v>8.5999999999999993E-2</v>
      </c>
      <c r="M81" s="46">
        <v>0.58799999999999997</v>
      </c>
      <c r="N81" s="46">
        <v>0.72599999999999998</v>
      </c>
      <c r="O81" s="46">
        <v>0.496</v>
      </c>
      <c r="P81" s="46">
        <v>0.54300000000000004</v>
      </c>
      <c r="Q81" s="46">
        <v>0.77900000000000003</v>
      </c>
      <c r="R81" s="46">
        <v>6.4</v>
      </c>
      <c r="S81" s="46">
        <v>2.4</v>
      </c>
      <c r="T81" s="46">
        <v>0.35899999999999999</v>
      </c>
      <c r="U81" s="46">
        <v>88</v>
      </c>
      <c r="V81" s="46">
        <v>245</v>
      </c>
      <c r="W81" s="46">
        <v>0.45</v>
      </c>
      <c r="X81" s="46">
        <v>2.2999999999999998</v>
      </c>
      <c r="Y81" s="46">
        <v>5.8</v>
      </c>
      <c r="Z81" s="46">
        <v>0.81</v>
      </c>
      <c r="AA81" s="46">
        <v>2.1</v>
      </c>
      <c r="AB81" s="46">
        <v>0.622</v>
      </c>
      <c r="AC81" s="46">
        <v>194</v>
      </c>
      <c r="AD81" s="46">
        <v>312</v>
      </c>
      <c r="AE81" s="46">
        <v>0.57999999999999996</v>
      </c>
      <c r="AF81" s="46">
        <v>2.9</v>
      </c>
      <c r="AG81" s="46">
        <v>7.4</v>
      </c>
      <c r="AH81" s="46">
        <v>1.0900000000000001</v>
      </c>
      <c r="AI81" s="46">
        <v>2.8</v>
      </c>
      <c r="AJ81" s="46">
        <v>0.33600000000000002</v>
      </c>
      <c r="AK81" s="46">
        <v>0.34499999999999997</v>
      </c>
      <c r="AL81" s="46">
        <v>8.8999999999999996E-2</v>
      </c>
      <c r="AM81" s="46">
        <v>3.4000000000000002E-2</v>
      </c>
      <c r="AN81" s="46">
        <v>0.26200000000000001</v>
      </c>
      <c r="AO81" s="46">
        <v>0.46500000000000002</v>
      </c>
      <c r="AP81" s="46">
        <v>0.16200000000000001</v>
      </c>
      <c r="AQ81" s="46">
        <v>6.2</v>
      </c>
      <c r="AR81" s="46">
        <v>2.1</v>
      </c>
      <c r="AS81" s="46">
        <v>58</v>
      </c>
      <c r="AT81" s="46">
        <v>110.7</v>
      </c>
      <c r="AU81" s="46">
        <v>0.91</v>
      </c>
      <c r="AV81" s="46">
        <v>6808</v>
      </c>
      <c r="AW81" s="46">
        <v>0.48499999999999999</v>
      </c>
      <c r="AX81" s="46">
        <v>18</v>
      </c>
      <c r="AY81" s="46">
        <v>45455</v>
      </c>
      <c r="AZ81" s="46">
        <v>0.33300000000000002</v>
      </c>
      <c r="BA81" s="46">
        <v>0.16700000000000001</v>
      </c>
      <c r="BB81" s="46">
        <v>108</v>
      </c>
      <c r="BC81" s="46" t="s">
        <v>396</v>
      </c>
      <c r="BD81" s="46">
        <v>0.38900000000000001</v>
      </c>
      <c r="BE81" s="46">
        <v>1077</v>
      </c>
      <c r="BF81" s="46" t="s">
        <v>397</v>
      </c>
      <c r="BG81" s="46">
        <v>0.46899999999999997</v>
      </c>
      <c r="BH81" s="46">
        <v>7.8472E-2</v>
      </c>
      <c r="BI81" s="46">
        <v>43.8</v>
      </c>
      <c r="BJ81" s="46">
        <v>41.7</v>
      </c>
    </row>
    <row r="82" spans="1:62" x14ac:dyDescent="0.25">
      <c r="A82" s="46" t="s">
        <v>146</v>
      </c>
      <c r="B82" s="46">
        <v>34</v>
      </c>
      <c r="C82" s="46">
        <v>15</v>
      </c>
      <c r="D82" s="46">
        <v>19</v>
      </c>
      <c r="E82" s="52">
        <v>0.441</v>
      </c>
      <c r="F82" s="46">
        <v>0.67100000000000004</v>
      </c>
      <c r="G82" s="46">
        <v>0.65400000000000003</v>
      </c>
      <c r="H82" s="46">
        <v>252</v>
      </c>
      <c r="I82" s="46">
        <v>8.8999999999999996E-2</v>
      </c>
      <c r="J82" s="46">
        <v>58</v>
      </c>
      <c r="K82" s="46">
        <v>0.02</v>
      </c>
      <c r="L82" s="46">
        <v>5.5E-2</v>
      </c>
      <c r="M82" s="46">
        <v>0.63</v>
      </c>
      <c r="N82" s="46">
        <v>0.746</v>
      </c>
      <c r="O82" s="46">
        <v>0.54300000000000004</v>
      </c>
      <c r="P82" s="46">
        <v>0.57399999999999995</v>
      </c>
      <c r="Q82" s="46">
        <v>0.85299999999999998</v>
      </c>
      <c r="R82" s="46">
        <v>6.3</v>
      </c>
      <c r="S82" s="46">
        <v>2.1</v>
      </c>
      <c r="T82" s="46">
        <v>0.31</v>
      </c>
      <c r="U82" s="46">
        <v>72</v>
      </c>
      <c r="V82" s="46">
        <v>232</v>
      </c>
      <c r="W82" s="46">
        <v>0.51</v>
      </c>
      <c r="X82" s="46">
        <v>2.6</v>
      </c>
      <c r="Y82" s="46">
        <v>6.8</v>
      </c>
      <c r="Z82" s="46">
        <v>0.81</v>
      </c>
      <c r="AA82" s="46">
        <v>2.1</v>
      </c>
      <c r="AB82" s="46">
        <v>0.60099999999999998</v>
      </c>
      <c r="AC82" s="46">
        <v>101</v>
      </c>
      <c r="AD82" s="46">
        <v>168</v>
      </c>
      <c r="AE82" s="46">
        <v>0.37</v>
      </c>
      <c r="AF82" s="46">
        <v>1.9</v>
      </c>
      <c r="AG82" s="46">
        <v>4.9000000000000004</v>
      </c>
      <c r="AH82" s="46">
        <v>0.75</v>
      </c>
      <c r="AI82" s="46">
        <v>2</v>
      </c>
      <c r="AJ82" s="46">
        <v>0.35099999999999998</v>
      </c>
      <c r="AK82" s="46">
        <v>0.35399999999999998</v>
      </c>
      <c r="AL82" s="46">
        <v>8.3000000000000004E-2</v>
      </c>
      <c r="AM82" s="46">
        <v>0.04</v>
      </c>
      <c r="AN82" s="46">
        <v>0.27400000000000002</v>
      </c>
      <c r="AO82" s="46">
        <v>0.46800000000000003</v>
      </c>
      <c r="AP82" s="46">
        <v>0.159</v>
      </c>
      <c r="AQ82" s="46">
        <v>6.6</v>
      </c>
      <c r="AR82" s="46">
        <v>2.2999999999999998</v>
      </c>
      <c r="AS82" s="46">
        <v>50</v>
      </c>
      <c r="AT82" s="46">
        <v>53.2</v>
      </c>
      <c r="AU82" s="46">
        <v>1.07</v>
      </c>
      <c r="AV82" s="46">
        <v>5841</v>
      </c>
      <c r="AW82" s="46">
        <v>0.50700000000000001</v>
      </c>
      <c r="AX82" s="46">
        <v>25</v>
      </c>
      <c r="AY82" s="46" t="s">
        <v>375</v>
      </c>
      <c r="AZ82" s="46">
        <v>0.56000000000000005</v>
      </c>
      <c r="BA82" s="46">
        <v>0.28100000000000003</v>
      </c>
      <c r="BB82" s="46">
        <v>89</v>
      </c>
      <c r="BC82" s="46" t="s">
        <v>398</v>
      </c>
      <c r="BD82" s="46">
        <v>0.49399999999999999</v>
      </c>
      <c r="BE82" s="46">
        <v>907</v>
      </c>
      <c r="BF82" s="46" t="s">
        <v>399</v>
      </c>
      <c r="BG82" s="46">
        <v>0.50700000000000001</v>
      </c>
      <c r="BH82" s="46">
        <v>9.0277999999999997E-2</v>
      </c>
      <c r="BI82" s="46">
        <v>49.7</v>
      </c>
      <c r="BJ82" s="46">
        <v>45.4</v>
      </c>
    </row>
    <row r="83" spans="1:62" x14ac:dyDescent="0.25">
      <c r="A83" s="46" t="s">
        <v>147</v>
      </c>
      <c r="B83" s="46">
        <v>10</v>
      </c>
      <c r="C83" s="46">
        <v>5</v>
      </c>
      <c r="D83" s="46">
        <v>5</v>
      </c>
      <c r="E83" s="52">
        <v>0.5</v>
      </c>
      <c r="F83" s="46">
        <v>0.63200000000000001</v>
      </c>
      <c r="G83" s="46">
        <v>0.63300000000000001</v>
      </c>
      <c r="H83" s="46">
        <v>18</v>
      </c>
      <c r="I83" s="46">
        <v>2.5000000000000001E-2</v>
      </c>
      <c r="J83" s="46">
        <v>11</v>
      </c>
      <c r="K83" s="46">
        <v>1.4999999999999999E-2</v>
      </c>
      <c r="L83" s="46">
        <v>4.7E-2</v>
      </c>
      <c r="M83" s="46">
        <v>0.67400000000000004</v>
      </c>
      <c r="N83" s="46">
        <v>0.64200000000000002</v>
      </c>
      <c r="O83" s="46">
        <v>0.61299999999999999</v>
      </c>
      <c r="P83" s="46">
        <v>0.64300000000000002</v>
      </c>
      <c r="Q83" s="46">
        <v>0.77900000000000003</v>
      </c>
      <c r="R83" s="46">
        <v>6.4</v>
      </c>
      <c r="S83" s="46">
        <v>2.2999999999999998</v>
      </c>
      <c r="T83" s="46">
        <v>0.47899999999999998</v>
      </c>
      <c r="U83" s="46">
        <v>23</v>
      </c>
      <c r="V83" s="46">
        <v>48</v>
      </c>
      <c r="W83" s="46">
        <v>0.43</v>
      </c>
      <c r="X83" s="46">
        <v>1.7</v>
      </c>
      <c r="Y83" s="46">
        <v>4.8</v>
      </c>
      <c r="Z83" s="46">
        <v>0.82</v>
      </c>
      <c r="AA83" s="46">
        <v>2.2999999999999998</v>
      </c>
      <c r="AB83" s="46">
        <v>0.66700000000000004</v>
      </c>
      <c r="AC83" s="46">
        <v>50</v>
      </c>
      <c r="AD83" s="46">
        <v>75</v>
      </c>
      <c r="AE83" s="46">
        <v>0.66</v>
      </c>
      <c r="AF83" s="46">
        <v>2.7</v>
      </c>
      <c r="AG83" s="46">
        <v>7.5</v>
      </c>
      <c r="AH83" s="46">
        <v>0.89</v>
      </c>
      <c r="AI83" s="46">
        <v>2.5</v>
      </c>
      <c r="AJ83" s="46">
        <v>0.35</v>
      </c>
      <c r="AK83" s="46">
        <v>0.34599999999999997</v>
      </c>
      <c r="AL83" s="46">
        <v>7.8E-2</v>
      </c>
      <c r="AM83" s="46">
        <v>4.7E-2</v>
      </c>
      <c r="AN83" s="46">
        <v>0.25600000000000001</v>
      </c>
      <c r="AO83" s="46">
        <v>0.49399999999999999</v>
      </c>
      <c r="AP83" s="46">
        <v>0.20499999999999999</v>
      </c>
      <c r="AQ83" s="46">
        <v>6.1</v>
      </c>
      <c r="AR83" s="46">
        <v>2.1</v>
      </c>
      <c r="AS83" s="46">
        <v>80</v>
      </c>
      <c r="AT83" s="46">
        <v>198</v>
      </c>
      <c r="AU83" s="46">
        <v>0.95</v>
      </c>
      <c r="AV83" s="46">
        <v>1404</v>
      </c>
      <c r="AW83" s="46">
        <v>0.495</v>
      </c>
      <c r="AX83" s="46">
        <v>1</v>
      </c>
      <c r="AY83" s="46">
        <v>36526</v>
      </c>
      <c r="AZ83" s="46">
        <v>1</v>
      </c>
      <c r="BA83" s="46">
        <v>3.5999999999999997E-2</v>
      </c>
      <c r="BB83" s="46">
        <v>28</v>
      </c>
      <c r="BC83" s="46" t="s">
        <v>190</v>
      </c>
      <c r="BD83" s="46">
        <v>0.53600000000000003</v>
      </c>
      <c r="BE83" s="46">
        <v>225</v>
      </c>
      <c r="BF83" s="46" t="s">
        <v>400</v>
      </c>
      <c r="BG83" s="46">
        <v>0.49299999999999999</v>
      </c>
      <c r="BH83" s="46">
        <v>7.7082999999999999E-2</v>
      </c>
      <c r="BI83" s="46">
        <v>39.700000000000003</v>
      </c>
      <c r="BJ83" s="46">
        <v>47.5</v>
      </c>
    </row>
    <row r="84" spans="1:62" x14ac:dyDescent="0.25">
      <c r="A84" s="46" t="s">
        <v>148</v>
      </c>
      <c r="B84" s="46">
        <v>23</v>
      </c>
      <c r="C84" s="46">
        <v>11</v>
      </c>
      <c r="D84" s="46">
        <v>12</v>
      </c>
      <c r="E84" s="52">
        <v>0.47799999999999998</v>
      </c>
      <c r="F84" s="46">
        <v>0.57499999999999996</v>
      </c>
      <c r="G84" s="46">
        <v>0.57999999999999996</v>
      </c>
      <c r="H84" s="46">
        <v>60</v>
      </c>
      <c r="I84" s="46">
        <v>3.3000000000000002E-2</v>
      </c>
      <c r="J84" s="46">
        <v>59</v>
      </c>
      <c r="K84" s="46">
        <v>3.3000000000000002E-2</v>
      </c>
      <c r="L84" s="46">
        <v>9.4E-2</v>
      </c>
      <c r="M84" s="46">
        <v>0.65300000000000002</v>
      </c>
      <c r="N84" s="46">
        <v>0.63100000000000001</v>
      </c>
      <c r="O84" s="46">
        <v>0.47</v>
      </c>
      <c r="P84" s="46">
        <v>0.51900000000000002</v>
      </c>
      <c r="Q84" s="46">
        <v>0.66900000000000004</v>
      </c>
      <c r="R84" s="46">
        <v>6.6</v>
      </c>
      <c r="S84" s="46">
        <v>2.8</v>
      </c>
      <c r="T84" s="46">
        <v>0.40300000000000002</v>
      </c>
      <c r="U84" s="46">
        <v>85</v>
      </c>
      <c r="V84" s="46">
        <v>211</v>
      </c>
      <c r="W84" s="46">
        <v>0.76</v>
      </c>
      <c r="X84" s="46">
        <v>3.6</v>
      </c>
      <c r="Y84" s="46">
        <v>9.1999999999999993</v>
      </c>
      <c r="Z84" s="46">
        <v>1.47</v>
      </c>
      <c r="AA84" s="46">
        <v>3.7</v>
      </c>
      <c r="AB84" s="46">
        <v>0.57299999999999995</v>
      </c>
      <c r="AC84" s="46">
        <v>122</v>
      </c>
      <c r="AD84" s="46">
        <v>213</v>
      </c>
      <c r="AE84" s="46">
        <v>0.77</v>
      </c>
      <c r="AF84" s="46">
        <v>3.7</v>
      </c>
      <c r="AG84" s="46">
        <v>9.3000000000000007</v>
      </c>
      <c r="AH84" s="46">
        <v>1.57</v>
      </c>
      <c r="AI84" s="46">
        <v>4</v>
      </c>
      <c r="AJ84" s="46">
        <v>0.41799999999999998</v>
      </c>
      <c r="AK84" s="46">
        <v>0.41799999999999998</v>
      </c>
      <c r="AL84" s="46">
        <v>4.1000000000000002E-2</v>
      </c>
      <c r="AM84" s="46">
        <v>2.9000000000000001E-2</v>
      </c>
      <c r="AN84" s="46">
        <v>0.34599999999999997</v>
      </c>
      <c r="AO84" s="46">
        <v>0.53100000000000003</v>
      </c>
      <c r="AP84" s="46">
        <v>0.308</v>
      </c>
      <c r="AQ84" s="46">
        <v>6.7</v>
      </c>
      <c r="AR84" s="46">
        <v>2.8</v>
      </c>
      <c r="AS84" s="46">
        <v>63</v>
      </c>
      <c r="AT84" s="46">
        <v>85.6</v>
      </c>
      <c r="AU84" s="46">
        <v>0.98</v>
      </c>
      <c r="AV84" s="46">
        <v>3652</v>
      </c>
      <c r="AW84" s="46">
        <v>0.496</v>
      </c>
      <c r="AX84" s="46">
        <v>7</v>
      </c>
      <c r="AY84" s="46">
        <v>45355</v>
      </c>
      <c r="AZ84" s="46">
        <v>0.42899999999999999</v>
      </c>
      <c r="BA84" s="46">
        <v>0.121</v>
      </c>
      <c r="BB84" s="46">
        <v>58</v>
      </c>
      <c r="BC84" s="46" t="s">
        <v>401</v>
      </c>
      <c r="BD84" s="46">
        <v>0.46600000000000003</v>
      </c>
      <c r="BE84" s="46">
        <v>551</v>
      </c>
      <c r="BF84" s="46" t="s">
        <v>402</v>
      </c>
      <c r="BG84" s="46">
        <v>0.48799999999999999</v>
      </c>
      <c r="BH84" s="46">
        <v>8.6110999999999993E-2</v>
      </c>
      <c r="BI84" s="46">
        <v>49.2</v>
      </c>
      <c r="BJ84" s="46">
        <v>46.8</v>
      </c>
    </row>
    <row r="85" spans="1:62" x14ac:dyDescent="0.25">
      <c r="A85" s="46" t="s">
        <v>149</v>
      </c>
      <c r="B85" s="46">
        <v>10</v>
      </c>
      <c r="C85" s="46">
        <v>3</v>
      </c>
      <c r="D85" s="46">
        <v>7</v>
      </c>
      <c r="E85" s="52">
        <v>0.3</v>
      </c>
      <c r="F85" s="46">
        <v>0.64500000000000002</v>
      </c>
      <c r="G85" s="46">
        <v>0.64700000000000002</v>
      </c>
      <c r="H85" s="46">
        <v>40</v>
      </c>
      <c r="I85" s="46">
        <v>0.05</v>
      </c>
      <c r="J85" s="46">
        <v>25</v>
      </c>
      <c r="K85" s="46">
        <v>3.1E-2</v>
      </c>
      <c r="L85" s="46">
        <v>9.8000000000000004E-2</v>
      </c>
      <c r="M85" s="46">
        <v>0.68100000000000005</v>
      </c>
      <c r="N85" s="46">
        <v>0.71199999999999997</v>
      </c>
      <c r="O85" s="46">
        <v>0.5</v>
      </c>
      <c r="P85" s="46">
        <v>0.55400000000000005</v>
      </c>
      <c r="Q85" s="46">
        <v>0.78900000000000003</v>
      </c>
      <c r="R85" s="46">
        <v>6.3</v>
      </c>
      <c r="S85" s="46">
        <v>2.2000000000000002</v>
      </c>
      <c r="T85" s="46">
        <v>0.27300000000000002</v>
      </c>
      <c r="U85" s="46">
        <v>15</v>
      </c>
      <c r="V85" s="46">
        <v>55</v>
      </c>
      <c r="W85" s="46">
        <v>0.44</v>
      </c>
      <c r="X85" s="46">
        <v>1.7</v>
      </c>
      <c r="Y85" s="46">
        <v>5.5</v>
      </c>
      <c r="Z85" s="46">
        <v>0.47</v>
      </c>
      <c r="AA85" s="46">
        <v>1.5</v>
      </c>
      <c r="AB85" s="46">
        <v>0.55000000000000004</v>
      </c>
      <c r="AC85" s="46">
        <v>33</v>
      </c>
      <c r="AD85" s="46">
        <v>60</v>
      </c>
      <c r="AE85" s="46">
        <v>0.47</v>
      </c>
      <c r="AF85" s="46">
        <v>1.9</v>
      </c>
      <c r="AG85" s="46">
        <v>6</v>
      </c>
      <c r="AH85" s="46">
        <v>0.84</v>
      </c>
      <c r="AI85" s="46">
        <v>2.7</v>
      </c>
      <c r="AJ85" s="46">
        <v>0.34100000000000003</v>
      </c>
      <c r="AK85" s="46">
        <v>0.33400000000000002</v>
      </c>
      <c r="AL85" s="46">
        <v>5.2999999999999999E-2</v>
      </c>
      <c r="AM85" s="46">
        <v>3.5999999999999997E-2</v>
      </c>
      <c r="AN85" s="46">
        <v>0.23599999999999999</v>
      </c>
      <c r="AO85" s="46">
        <v>0.49299999999999999</v>
      </c>
      <c r="AP85" s="46">
        <v>0.11899999999999999</v>
      </c>
      <c r="AQ85" s="46">
        <v>6.6</v>
      </c>
      <c r="AR85" s="46">
        <v>2.2999999999999998</v>
      </c>
      <c r="AS85" s="46">
        <v>58.5</v>
      </c>
      <c r="AT85" s="46">
        <v>59.3</v>
      </c>
      <c r="AU85" s="46">
        <v>0.96</v>
      </c>
      <c r="AV85" s="46">
        <v>1639</v>
      </c>
      <c r="AW85" s="46">
        <v>0.48899999999999999</v>
      </c>
      <c r="AX85" s="46">
        <v>7</v>
      </c>
      <c r="AY85" s="46">
        <v>45355</v>
      </c>
      <c r="AZ85" s="46">
        <v>0.42899999999999999</v>
      </c>
      <c r="BA85" s="46">
        <v>0.219</v>
      </c>
      <c r="BB85" s="46">
        <v>32</v>
      </c>
      <c r="BC85" s="46">
        <v>45646</v>
      </c>
      <c r="BD85" s="46">
        <v>0.375</v>
      </c>
      <c r="BE85" s="46">
        <v>254</v>
      </c>
      <c r="BF85" s="46" t="s">
        <v>403</v>
      </c>
      <c r="BG85" s="46">
        <v>0.45700000000000002</v>
      </c>
      <c r="BH85" s="46">
        <v>8.4722000000000006E-2</v>
      </c>
      <c r="BI85" s="46">
        <v>38</v>
      </c>
      <c r="BJ85" s="46">
        <v>44.5</v>
      </c>
    </row>
    <row r="86" spans="1:62" x14ac:dyDescent="0.25">
      <c r="A86" s="46" t="s">
        <v>150</v>
      </c>
      <c r="B86" s="46">
        <v>31</v>
      </c>
      <c r="C86" s="46">
        <v>11</v>
      </c>
      <c r="D86" s="46">
        <v>20</v>
      </c>
      <c r="E86" s="52">
        <v>0.35499999999999998</v>
      </c>
      <c r="F86" s="46">
        <v>0.60499999999999998</v>
      </c>
      <c r="G86" s="46">
        <v>0.60699999999999998</v>
      </c>
      <c r="H86" s="46">
        <v>110</v>
      </c>
      <c r="I86" s="46">
        <v>4.8000000000000001E-2</v>
      </c>
      <c r="J86" s="46">
        <v>78</v>
      </c>
      <c r="K86" s="46">
        <v>3.4000000000000002E-2</v>
      </c>
      <c r="L86" s="46">
        <v>8.4000000000000005E-2</v>
      </c>
      <c r="M86" s="46">
        <v>0.59399999999999997</v>
      </c>
      <c r="N86" s="46">
        <v>0.67400000000000004</v>
      </c>
      <c r="O86" s="46">
        <v>0.503</v>
      </c>
      <c r="P86" s="46">
        <v>0.54900000000000004</v>
      </c>
      <c r="Q86" s="46">
        <v>0.73299999999999998</v>
      </c>
      <c r="R86" s="46">
        <v>6.4</v>
      </c>
      <c r="S86" s="46">
        <v>2.5</v>
      </c>
      <c r="T86" s="46">
        <v>0.41799999999999998</v>
      </c>
      <c r="U86" s="46">
        <v>69</v>
      </c>
      <c r="V86" s="46">
        <v>165</v>
      </c>
      <c r="W86" s="46">
        <v>0.46</v>
      </c>
      <c r="X86" s="46">
        <v>2.1</v>
      </c>
      <c r="Y86" s="46">
        <v>5.3</v>
      </c>
      <c r="Z86" s="46">
        <v>0.88</v>
      </c>
      <c r="AA86" s="46">
        <v>2.2000000000000002</v>
      </c>
      <c r="AB86" s="46">
        <v>0.56399999999999995</v>
      </c>
      <c r="AC86" s="46">
        <v>124</v>
      </c>
      <c r="AD86" s="46">
        <v>220</v>
      </c>
      <c r="AE86" s="46">
        <v>0.61</v>
      </c>
      <c r="AF86" s="46">
        <v>2.8</v>
      </c>
      <c r="AG86" s="46">
        <v>7.1</v>
      </c>
      <c r="AH86" s="46">
        <v>1.23</v>
      </c>
      <c r="AI86" s="46">
        <v>3.1</v>
      </c>
      <c r="AJ86" s="46">
        <v>0.35499999999999998</v>
      </c>
      <c r="AK86" s="46">
        <v>0.36499999999999999</v>
      </c>
      <c r="AL86" s="46">
        <v>8.7999999999999995E-2</v>
      </c>
      <c r="AM86" s="46">
        <v>3.5000000000000003E-2</v>
      </c>
      <c r="AN86" s="46">
        <v>0.27700000000000002</v>
      </c>
      <c r="AO86" s="46">
        <v>0.47899999999999998</v>
      </c>
      <c r="AP86" s="46">
        <v>0.191</v>
      </c>
      <c r="AQ86" s="46">
        <v>6.3</v>
      </c>
      <c r="AR86" s="46">
        <v>2.2000000000000002</v>
      </c>
      <c r="AS86" s="46">
        <v>54</v>
      </c>
      <c r="AT86" s="46">
        <v>98.3</v>
      </c>
      <c r="AU86" s="46">
        <v>0.9</v>
      </c>
      <c r="AV86" s="46">
        <v>4565</v>
      </c>
      <c r="AW86" s="46">
        <v>0.48</v>
      </c>
      <c r="AX86" s="46">
        <v>7</v>
      </c>
      <c r="AY86" s="46">
        <v>45327</v>
      </c>
      <c r="AZ86" s="46">
        <v>0.28599999999999998</v>
      </c>
      <c r="BA86" s="46">
        <v>0.09</v>
      </c>
      <c r="BB86" s="46">
        <v>78</v>
      </c>
      <c r="BC86" s="46" t="s">
        <v>404</v>
      </c>
      <c r="BD86" s="46">
        <v>0.38500000000000001</v>
      </c>
      <c r="BE86" s="46">
        <v>722</v>
      </c>
      <c r="BF86" s="46" t="s">
        <v>405</v>
      </c>
      <c r="BG86" s="46">
        <v>0.46100000000000002</v>
      </c>
      <c r="BH86" s="46">
        <v>7.9167000000000001E-2</v>
      </c>
      <c r="BI86" s="46">
        <v>45.2</v>
      </c>
      <c r="BJ86" s="46">
        <v>46.3</v>
      </c>
    </row>
    <row r="87" spans="1:62" x14ac:dyDescent="0.25">
      <c r="A87" s="46" t="s">
        <v>151</v>
      </c>
      <c r="B87" s="46">
        <v>32</v>
      </c>
      <c r="C87" s="46">
        <v>14</v>
      </c>
      <c r="D87" s="46">
        <v>18</v>
      </c>
      <c r="E87" s="52">
        <v>0.438</v>
      </c>
      <c r="F87" s="46">
        <v>0.627</v>
      </c>
      <c r="G87" s="46">
        <v>0.625</v>
      </c>
      <c r="H87" s="46">
        <v>88</v>
      </c>
      <c r="I87" s="46">
        <v>3.5999999999999997E-2</v>
      </c>
      <c r="J87" s="46">
        <v>44</v>
      </c>
      <c r="K87" s="46">
        <v>1.7999999999999999E-2</v>
      </c>
      <c r="L87" s="46">
        <v>5.7000000000000002E-2</v>
      </c>
      <c r="M87" s="46">
        <v>0.68400000000000005</v>
      </c>
      <c r="N87" s="46">
        <v>0.68100000000000005</v>
      </c>
      <c r="O87" s="46">
        <v>0.51100000000000001</v>
      </c>
      <c r="P87" s="46">
        <v>0.54200000000000004</v>
      </c>
      <c r="Q87" s="46">
        <v>0.77500000000000002</v>
      </c>
      <c r="R87" s="46">
        <v>6.3</v>
      </c>
      <c r="S87" s="46">
        <v>2.4</v>
      </c>
      <c r="T87" s="46">
        <v>0.36699999999999999</v>
      </c>
      <c r="U87" s="46">
        <v>76</v>
      </c>
      <c r="V87" s="46">
        <v>207</v>
      </c>
      <c r="W87" s="46">
        <v>0.55000000000000004</v>
      </c>
      <c r="X87" s="46">
        <v>2.7</v>
      </c>
      <c r="Y87" s="46">
        <v>6.5</v>
      </c>
      <c r="Z87" s="46">
        <v>0.99</v>
      </c>
      <c r="AA87" s="46">
        <v>2.4</v>
      </c>
      <c r="AB87" s="46">
        <v>0.57399999999999995</v>
      </c>
      <c r="AC87" s="46">
        <v>117</v>
      </c>
      <c r="AD87" s="46">
        <v>204</v>
      </c>
      <c r="AE87" s="46">
        <v>0.53</v>
      </c>
      <c r="AF87" s="46">
        <v>2.6</v>
      </c>
      <c r="AG87" s="46">
        <v>6.4</v>
      </c>
      <c r="AH87" s="46">
        <v>1.1299999999999999</v>
      </c>
      <c r="AI87" s="46">
        <v>2.7</v>
      </c>
      <c r="AJ87" s="46">
        <v>0.372</v>
      </c>
      <c r="AK87" s="46">
        <v>0.4</v>
      </c>
      <c r="AL87" s="46">
        <v>0.112</v>
      </c>
      <c r="AM87" s="46">
        <v>2.7E-2</v>
      </c>
      <c r="AN87" s="46">
        <v>0.28000000000000003</v>
      </c>
      <c r="AO87" s="46">
        <v>0.52600000000000002</v>
      </c>
      <c r="AP87" s="46">
        <v>0.20100000000000001</v>
      </c>
      <c r="AQ87" s="46">
        <v>6.6</v>
      </c>
      <c r="AR87" s="46">
        <v>2.5</v>
      </c>
      <c r="AS87" s="46">
        <v>55</v>
      </c>
      <c r="AT87" s="46">
        <v>62.8</v>
      </c>
      <c r="AU87" s="46">
        <v>1</v>
      </c>
      <c r="AV87" s="46">
        <v>4958</v>
      </c>
      <c r="AW87" s="46">
        <v>0.498</v>
      </c>
      <c r="AX87" s="46">
        <v>17</v>
      </c>
      <c r="AY87" s="46">
        <v>45572</v>
      </c>
      <c r="AZ87" s="46">
        <v>0.58799999999999997</v>
      </c>
      <c r="BA87" s="46">
        <v>0.221</v>
      </c>
      <c r="BB87" s="46">
        <v>77</v>
      </c>
      <c r="BC87" s="46" t="s">
        <v>406</v>
      </c>
      <c r="BD87" s="46">
        <v>0.46800000000000003</v>
      </c>
      <c r="BE87" s="46">
        <v>764</v>
      </c>
      <c r="BF87" s="46" t="s">
        <v>407</v>
      </c>
      <c r="BG87" s="46">
        <v>0.49099999999999999</v>
      </c>
      <c r="BH87" s="46">
        <v>8.1250000000000003E-2</v>
      </c>
      <c r="BI87" s="46">
        <v>48.5</v>
      </c>
      <c r="BJ87" s="46">
        <v>45.2</v>
      </c>
    </row>
    <row r="88" spans="1:62" x14ac:dyDescent="0.25">
      <c r="A88" s="46" t="s">
        <v>152</v>
      </c>
      <c r="B88" s="46">
        <v>39</v>
      </c>
      <c r="C88" s="46">
        <v>18</v>
      </c>
      <c r="D88" s="46">
        <v>21</v>
      </c>
      <c r="E88" s="52">
        <v>0.46200000000000002</v>
      </c>
      <c r="F88" s="46">
        <v>0.65100000000000002</v>
      </c>
      <c r="G88" s="46">
        <v>0.63600000000000001</v>
      </c>
      <c r="H88" s="46">
        <v>279</v>
      </c>
      <c r="I88" s="46">
        <v>8.6999999999999994E-2</v>
      </c>
      <c r="J88" s="46">
        <v>83</v>
      </c>
      <c r="K88" s="46">
        <v>2.5999999999999999E-2</v>
      </c>
      <c r="L88" s="46">
        <v>5.8000000000000003E-2</v>
      </c>
      <c r="M88" s="46">
        <v>0.55500000000000005</v>
      </c>
      <c r="N88" s="46">
        <v>0.753</v>
      </c>
      <c r="O88" s="46">
        <v>0.52400000000000002</v>
      </c>
      <c r="P88" s="46">
        <v>0.55600000000000005</v>
      </c>
      <c r="Q88" s="46">
        <v>0.81299999999999994</v>
      </c>
      <c r="R88" s="46">
        <v>6.2</v>
      </c>
      <c r="S88" s="46">
        <v>2.2000000000000002</v>
      </c>
      <c r="T88" s="46">
        <v>0.39</v>
      </c>
      <c r="U88" s="46">
        <v>104</v>
      </c>
      <c r="V88" s="46">
        <v>267</v>
      </c>
      <c r="W88" s="46">
        <v>0.52</v>
      </c>
      <c r="X88" s="46">
        <v>2.5</v>
      </c>
      <c r="Y88" s="46">
        <v>6.8</v>
      </c>
      <c r="Z88" s="46">
        <v>0.99</v>
      </c>
      <c r="AA88" s="46">
        <v>2.7</v>
      </c>
      <c r="AB88" s="46">
        <v>0.59899999999999998</v>
      </c>
      <c r="AC88" s="46">
        <v>145</v>
      </c>
      <c r="AD88" s="46">
        <v>242</v>
      </c>
      <c r="AE88" s="46">
        <v>0.47</v>
      </c>
      <c r="AF88" s="46">
        <v>2.2999999999999998</v>
      </c>
      <c r="AG88" s="46">
        <v>6.2</v>
      </c>
      <c r="AH88" s="46">
        <v>0.92</v>
      </c>
      <c r="AI88" s="46">
        <v>2.5</v>
      </c>
      <c r="AJ88" s="46">
        <v>0.35499999999999998</v>
      </c>
      <c r="AK88" s="46">
        <v>0.35699999999999998</v>
      </c>
      <c r="AL88" s="46">
        <v>0.06</v>
      </c>
      <c r="AM88" s="46">
        <v>0.03</v>
      </c>
      <c r="AN88" s="46">
        <v>0.27600000000000002</v>
      </c>
      <c r="AO88" s="46">
        <v>0.47599999999999998</v>
      </c>
      <c r="AP88" s="46">
        <v>0.20399999999999999</v>
      </c>
      <c r="AQ88" s="46">
        <v>6.3</v>
      </c>
      <c r="AR88" s="46">
        <v>2.2000000000000002</v>
      </c>
      <c r="AS88" s="46">
        <v>60</v>
      </c>
      <c r="AT88" s="46">
        <v>60.3</v>
      </c>
      <c r="AU88" s="46">
        <v>1.02</v>
      </c>
      <c r="AV88" s="46">
        <v>6425</v>
      </c>
      <c r="AW88" s="46">
        <v>0.503</v>
      </c>
      <c r="AX88" s="46">
        <v>21</v>
      </c>
      <c r="AY88" s="46">
        <v>45487</v>
      </c>
      <c r="AZ88" s="46">
        <v>0.33300000000000002</v>
      </c>
      <c r="BA88" s="46">
        <v>0.2</v>
      </c>
      <c r="BB88" s="46">
        <v>105</v>
      </c>
      <c r="BC88" s="46" t="s">
        <v>408</v>
      </c>
      <c r="BD88" s="46">
        <v>0.51400000000000001</v>
      </c>
      <c r="BE88" s="46">
        <v>1027</v>
      </c>
      <c r="BF88" s="46" t="s">
        <v>409</v>
      </c>
      <c r="BG88" s="46">
        <v>0.51100000000000001</v>
      </c>
      <c r="BH88" s="46">
        <v>8.2639000000000004E-2</v>
      </c>
      <c r="BI88" s="46">
        <v>44.1</v>
      </c>
      <c r="BJ88" s="46">
        <v>43.3</v>
      </c>
    </row>
    <row r="89" spans="1:62" x14ac:dyDescent="0.25">
      <c r="A89" s="46" t="s">
        <v>153</v>
      </c>
      <c r="B89" s="46">
        <v>31</v>
      </c>
      <c r="C89" s="46">
        <v>11</v>
      </c>
      <c r="D89" s="46">
        <v>20</v>
      </c>
      <c r="E89" s="52">
        <v>0.35499999999999998</v>
      </c>
      <c r="F89" s="46">
        <v>0.60599999999999998</v>
      </c>
      <c r="G89" s="46">
        <v>0.61199999999999999</v>
      </c>
      <c r="H89" s="46">
        <v>91</v>
      </c>
      <c r="I89" s="46">
        <v>3.5999999999999997E-2</v>
      </c>
      <c r="J89" s="46">
        <v>80</v>
      </c>
      <c r="K89" s="46">
        <v>3.2000000000000001E-2</v>
      </c>
      <c r="L89" s="46">
        <v>0.09</v>
      </c>
      <c r="M89" s="46">
        <v>0.64600000000000002</v>
      </c>
      <c r="N89" s="46">
        <v>0.66600000000000004</v>
      </c>
      <c r="O89" s="46">
        <v>0.498</v>
      </c>
      <c r="P89" s="46">
        <v>0.54700000000000004</v>
      </c>
      <c r="Q89" s="46">
        <v>0.74099999999999999</v>
      </c>
      <c r="R89" s="46">
        <v>6.6</v>
      </c>
      <c r="S89" s="46">
        <v>2.6</v>
      </c>
      <c r="T89" s="46">
        <v>0.34599999999999997</v>
      </c>
      <c r="U89" s="46">
        <v>79</v>
      </c>
      <c r="V89" s="46">
        <v>228</v>
      </c>
      <c r="W89" s="46">
        <v>0.6</v>
      </c>
      <c r="X89" s="46">
        <v>2.9</v>
      </c>
      <c r="Y89" s="46">
        <v>7.4</v>
      </c>
      <c r="Z89" s="46">
        <v>1.01</v>
      </c>
      <c r="AA89" s="46">
        <v>2.5</v>
      </c>
      <c r="AB89" s="46">
        <v>0.61899999999999999</v>
      </c>
      <c r="AC89" s="46">
        <v>159</v>
      </c>
      <c r="AD89" s="46">
        <v>257</v>
      </c>
      <c r="AE89" s="46">
        <v>0.68</v>
      </c>
      <c r="AF89" s="46">
        <v>3.3</v>
      </c>
      <c r="AG89" s="46">
        <v>8.3000000000000007</v>
      </c>
      <c r="AH89" s="46">
        <v>1.26</v>
      </c>
      <c r="AI89" s="46">
        <v>3.2</v>
      </c>
      <c r="AJ89" s="46">
        <v>0.37</v>
      </c>
      <c r="AK89" s="46">
        <v>0.35799999999999998</v>
      </c>
      <c r="AL89" s="46">
        <v>3.6999999999999998E-2</v>
      </c>
      <c r="AM89" s="46">
        <v>3.9E-2</v>
      </c>
      <c r="AN89" s="46">
        <v>0.309</v>
      </c>
      <c r="AO89" s="46">
        <v>0.48</v>
      </c>
      <c r="AP89" s="46">
        <v>0.20599999999999999</v>
      </c>
      <c r="AQ89" s="46">
        <v>6.6</v>
      </c>
      <c r="AR89" s="46">
        <v>2.4</v>
      </c>
      <c r="AS89" s="46">
        <v>57.5</v>
      </c>
      <c r="AT89" s="46">
        <v>95</v>
      </c>
      <c r="AU89" s="46">
        <v>0.94</v>
      </c>
      <c r="AV89" s="46">
        <v>5017</v>
      </c>
      <c r="AW89" s="46">
        <v>0.48799999999999999</v>
      </c>
      <c r="AX89" s="46">
        <v>12</v>
      </c>
      <c r="AY89" s="46">
        <v>45449</v>
      </c>
      <c r="AZ89" s="46">
        <v>0.5</v>
      </c>
      <c r="BA89" s="46">
        <v>0.154</v>
      </c>
      <c r="BB89" s="46">
        <v>78</v>
      </c>
      <c r="BC89" s="46" t="s">
        <v>410</v>
      </c>
      <c r="BD89" s="46">
        <v>0.39700000000000002</v>
      </c>
      <c r="BE89" s="46">
        <v>762</v>
      </c>
      <c r="BF89" s="46" t="s">
        <v>411</v>
      </c>
      <c r="BG89" s="46">
        <v>0.47199999999999998</v>
      </c>
      <c r="BH89" s="46">
        <v>9.0277999999999997E-2</v>
      </c>
      <c r="BI89" s="46">
        <v>51.5</v>
      </c>
      <c r="BJ89" s="46">
        <v>48</v>
      </c>
    </row>
    <row r="90" spans="1:62" x14ac:dyDescent="0.25">
      <c r="A90" s="46" t="s">
        <v>154</v>
      </c>
      <c r="B90" s="46">
        <v>31</v>
      </c>
      <c r="C90" s="46">
        <v>11</v>
      </c>
      <c r="D90" s="46">
        <v>20</v>
      </c>
      <c r="E90" s="52">
        <v>0.35499999999999998</v>
      </c>
      <c r="F90" s="46">
        <v>0.60099999999999998</v>
      </c>
      <c r="G90" s="46">
        <v>0.58299999999999996</v>
      </c>
      <c r="H90" s="46">
        <v>196</v>
      </c>
      <c r="I90" s="46">
        <v>7.2999999999999995E-2</v>
      </c>
      <c r="J90" s="46">
        <v>58</v>
      </c>
      <c r="K90" s="46">
        <v>2.1000000000000001E-2</v>
      </c>
      <c r="L90" s="46">
        <v>5.7000000000000002E-2</v>
      </c>
      <c r="M90" s="46">
        <v>0.623</v>
      </c>
      <c r="N90" s="46">
        <v>0.68400000000000005</v>
      </c>
      <c r="O90" s="46">
        <v>0.46300000000000002</v>
      </c>
      <c r="P90" s="46">
        <v>0.49099999999999999</v>
      </c>
      <c r="Q90" s="46">
        <v>0.73399999999999999</v>
      </c>
      <c r="R90" s="46">
        <v>6.9</v>
      </c>
      <c r="S90" s="46">
        <v>2.7</v>
      </c>
      <c r="T90" s="46">
        <v>0.377</v>
      </c>
      <c r="U90" s="46">
        <v>75</v>
      </c>
      <c r="V90" s="46">
        <v>199</v>
      </c>
      <c r="W90" s="46">
        <v>0.51</v>
      </c>
      <c r="X90" s="46">
        <v>2.2999999999999998</v>
      </c>
      <c r="Y90" s="46">
        <v>6.4</v>
      </c>
      <c r="Z90" s="46">
        <v>0.87</v>
      </c>
      <c r="AA90" s="46">
        <v>2.4</v>
      </c>
      <c r="AB90" s="46">
        <v>0.625</v>
      </c>
      <c r="AC90" s="46">
        <v>175</v>
      </c>
      <c r="AD90" s="46">
        <v>280</v>
      </c>
      <c r="AE90" s="46">
        <v>0.71</v>
      </c>
      <c r="AF90" s="46">
        <v>3.3</v>
      </c>
      <c r="AG90" s="46">
        <v>9</v>
      </c>
      <c r="AH90" s="46">
        <v>1.22</v>
      </c>
      <c r="AI90" s="46">
        <v>3.4</v>
      </c>
      <c r="AJ90" s="46">
        <v>0.36299999999999999</v>
      </c>
      <c r="AK90" s="46">
        <v>0.36099999999999999</v>
      </c>
      <c r="AL90" s="46">
        <v>6.0999999999999999E-2</v>
      </c>
      <c r="AM90" s="46">
        <v>3.6999999999999998E-2</v>
      </c>
      <c r="AN90" s="46">
        <v>0.28699999999999998</v>
      </c>
      <c r="AO90" s="46">
        <v>0.48699999999999999</v>
      </c>
      <c r="AP90" s="46">
        <v>0.192</v>
      </c>
      <c r="AQ90" s="46">
        <v>6.4</v>
      </c>
      <c r="AR90" s="46">
        <v>2.2999999999999998</v>
      </c>
      <c r="AS90" s="46">
        <v>72</v>
      </c>
      <c r="AT90" s="46">
        <v>90.7</v>
      </c>
      <c r="AU90" s="46">
        <v>0.91</v>
      </c>
      <c r="AV90" s="46">
        <v>5187</v>
      </c>
      <c r="AW90" s="46">
        <v>0.48699999999999999</v>
      </c>
      <c r="AX90" s="46">
        <v>14</v>
      </c>
      <c r="AY90" s="46">
        <v>45540</v>
      </c>
      <c r="AZ90" s="46">
        <v>0.64300000000000002</v>
      </c>
      <c r="BA90" s="46">
        <v>0.16300000000000001</v>
      </c>
      <c r="BB90" s="46">
        <v>86</v>
      </c>
      <c r="BC90" s="46" t="s">
        <v>412</v>
      </c>
      <c r="BD90" s="46">
        <v>0.39500000000000002</v>
      </c>
      <c r="BE90" s="46">
        <v>785</v>
      </c>
      <c r="BF90" s="46" t="s">
        <v>413</v>
      </c>
      <c r="BG90" s="46">
        <v>0.46400000000000002</v>
      </c>
      <c r="BH90" s="46">
        <v>8.8888999999999996E-2</v>
      </c>
      <c r="BI90" s="46">
        <v>46</v>
      </c>
      <c r="BJ90" s="46">
        <v>45.7</v>
      </c>
    </row>
    <row r="91" spans="1:62" x14ac:dyDescent="0.25">
      <c r="A91" s="46" t="s">
        <v>155</v>
      </c>
      <c r="B91" s="46">
        <v>21</v>
      </c>
      <c r="C91" s="46">
        <v>5</v>
      </c>
      <c r="D91" s="46">
        <v>16</v>
      </c>
      <c r="E91" s="52">
        <v>0.23799999999999999</v>
      </c>
      <c r="F91" s="46">
        <v>0.55900000000000005</v>
      </c>
      <c r="G91" s="46">
        <v>0.55800000000000005</v>
      </c>
      <c r="H91" s="46">
        <v>108</v>
      </c>
      <c r="I91" s="46">
        <v>6.2E-2</v>
      </c>
      <c r="J91" s="46">
        <v>81</v>
      </c>
      <c r="K91" s="46">
        <v>4.5999999999999999E-2</v>
      </c>
      <c r="L91" s="46">
        <v>0.115</v>
      </c>
      <c r="M91" s="46">
        <v>0.59799999999999998</v>
      </c>
      <c r="N91" s="46">
        <v>0.63300000000000001</v>
      </c>
      <c r="O91" s="46">
        <v>0.45</v>
      </c>
      <c r="P91" s="46">
        <v>0.50800000000000001</v>
      </c>
      <c r="Q91" s="46">
        <v>0.63600000000000001</v>
      </c>
      <c r="R91" s="46">
        <v>6.6</v>
      </c>
      <c r="S91" s="46">
        <v>2.9</v>
      </c>
      <c r="T91" s="46">
        <v>0.47399999999999998</v>
      </c>
      <c r="U91" s="46">
        <v>64</v>
      </c>
      <c r="V91" s="46">
        <v>135</v>
      </c>
      <c r="W91" s="46">
        <v>0.52</v>
      </c>
      <c r="X91" s="46">
        <v>2.5</v>
      </c>
      <c r="Y91" s="46">
        <v>6.4</v>
      </c>
      <c r="Z91" s="46">
        <v>1.1599999999999999</v>
      </c>
      <c r="AA91" s="46">
        <v>3</v>
      </c>
      <c r="AB91" s="46">
        <v>0.53600000000000003</v>
      </c>
      <c r="AC91" s="46">
        <v>111</v>
      </c>
      <c r="AD91" s="46">
        <v>207</v>
      </c>
      <c r="AE91" s="46">
        <v>0.78</v>
      </c>
      <c r="AF91" s="46">
        <v>3.8</v>
      </c>
      <c r="AG91" s="46">
        <v>9.9</v>
      </c>
      <c r="AH91" s="46">
        <v>1.75</v>
      </c>
      <c r="AI91" s="46">
        <v>4.5999999999999996</v>
      </c>
      <c r="AJ91" s="46">
        <v>0.377</v>
      </c>
      <c r="AK91" s="46">
        <v>0.38900000000000001</v>
      </c>
      <c r="AL91" s="46">
        <v>9.4E-2</v>
      </c>
      <c r="AM91" s="46">
        <v>4.1000000000000002E-2</v>
      </c>
      <c r="AN91" s="46">
        <v>0.29499999999999998</v>
      </c>
      <c r="AO91" s="46">
        <v>0.50600000000000001</v>
      </c>
      <c r="AP91" s="46">
        <v>0.248</v>
      </c>
      <c r="AQ91" s="46">
        <v>6.2</v>
      </c>
      <c r="AR91" s="46">
        <v>2.4</v>
      </c>
      <c r="AS91" s="46">
        <v>74</v>
      </c>
      <c r="AT91" s="46">
        <v>80.8</v>
      </c>
      <c r="AU91" s="46">
        <v>0.86</v>
      </c>
      <c r="AV91" s="46">
        <v>3362</v>
      </c>
      <c r="AW91" s="46">
        <v>0.47199999999999998</v>
      </c>
      <c r="AX91" s="46">
        <v>4</v>
      </c>
      <c r="AY91" s="46">
        <v>45294</v>
      </c>
      <c r="AZ91" s="46">
        <v>0.25</v>
      </c>
      <c r="BA91" s="46">
        <v>7.2999999999999995E-2</v>
      </c>
      <c r="BB91" s="46">
        <v>55</v>
      </c>
      <c r="BC91" s="46" t="s">
        <v>414</v>
      </c>
      <c r="BD91" s="46">
        <v>0.309</v>
      </c>
      <c r="BE91" s="46">
        <v>522</v>
      </c>
      <c r="BF91" s="46" t="s">
        <v>415</v>
      </c>
      <c r="BG91" s="46">
        <v>0.44400000000000001</v>
      </c>
      <c r="BH91" s="46">
        <v>8.2639000000000004E-2</v>
      </c>
      <c r="BI91" s="46">
        <v>45.4</v>
      </c>
      <c r="BJ91" s="46">
        <v>44.5</v>
      </c>
    </row>
    <row r="92" spans="1:62" x14ac:dyDescent="0.25">
      <c r="A92" s="46" t="s">
        <v>156</v>
      </c>
      <c r="B92" s="46">
        <v>27</v>
      </c>
      <c r="C92" s="46">
        <v>8</v>
      </c>
      <c r="D92" s="46">
        <v>19</v>
      </c>
      <c r="E92" s="52">
        <v>0.29599999999999999</v>
      </c>
      <c r="F92" s="46">
        <v>0.59899999999999998</v>
      </c>
      <c r="G92" s="46">
        <v>0.59499999999999997</v>
      </c>
      <c r="H92" s="46">
        <v>141</v>
      </c>
      <c r="I92" s="46">
        <v>6.2E-2</v>
      </c>
      <c r="J92" s="46">
        <v>80</v>
      </c>
      <c r="K92" s="46">
        <v>3.5000000000000003E-2</v>
      </c>
      <c r="L92" s="46">
        <v>9.5000000000000001E-2</v>
      </c>
      <c r="M92" s="46">
        <v>0.63100000000000001</v>
      </c>
      <c r="N92" s="46">
        <v>0.68300000000000005</v>
      </c>
      <c r="O92" s="46">
        <v>0.45600000000000002</v>
      </c>
      <c r="P92" s="46">
        <v>0.503</v>
      </c>
      <c r="Q92" s="46">
        <v>0.72499999999999998</v>
      </c>
      <c r="R92" s="46">
        <v>6.3</v>
      </c>
      <c r="S92" s="46">
        <v>2.5</v>
      </c>
      <c r="T92" s="46">
        <v>0.39200000000000002</v>
      </c>
      <c r="U92" s="46">
        <v>73</v>
      </c>
      <c r="V92" s="46">
        <v>186</v>
      </c>
      <c r="W92" s="46">
        <v>0.52</v>
      </c>
      <c r="X92" s="46">
        <v>2.4</v>
      </c>
      <c r="Y92" s="46">
        <v>6.9</v>
      </c>
      <c r="Z92" s="46">
        <v>0.95</v>
      </c>
      <c r="AA92" s="46">
        <v>2.7</v>
      </c>
      <c r="AB92" s="46">
        <v>0.51900000000000002</v>
      </c>
      <c r="AC92" s="46">
        <v>108</v>
      </c>
      <c r="AD92" s="46">
        <v>208</v>
      </c>
      <c r="AE92" s="46">
        <v>0.56999999999999995</v>
      </c>
      <c r="AF92" s="46">
        <v>2.7</v>
      </c>
      <c r="AG92" s="46">
        <v>7.7</v>
      </c>
      <c r="AH92" s="46">
        <v>1.3</v>
      </c>
      <c r="AI92" s="46">
        <v>3.7</v>
      </c>
      <c r="AJ92" s="46">
        <v>0.36</v>
      </c>
      <c r="AK92" s="46">
        <v>0.36099999999999999</v>
      </c>
      <c r="AL92" s="46">
        <v>5.6000000000000001E-2</v>
      </c>
      <c r="AM92" s="46">
        <v>3.1E-2</v>
      </c>
      <c r="AN92" s="46">
        <v>0.28899999999999998</v>
      </c>
      <c r="AO92" s="46">
        <v>0.47199999999999998</v>
      </c>
      <c r="AP92" s="46">
        <v>0.20599999999999999</v>
      </c>
      <c r="AQ92" s="46">
        <v>6.3</v>
      </c>
      <c r="AR92" s="46">
        <v>2.2999999999999998</v>
      </c>
      <c r="AS92" s="46">
        <v>79</v>
      </c>
      <c r="AT92" s="46">
        <v>91</v>
      </c>
      <c r="AU92" s="46">
        <v>0.9</v>
      </c>
      <c r="AV92" s="46">
        <v>4518</v>
      </c>
      <c r="AW92" s="46">
        <v>0.48099999999999998</v>
      </c>
      <c r="AX92" s="46">
        <v>9</v>
      </c>
      <c r="AY92" s="46">
        <v>45387</v>
      </c>
      <c r="AZ92" s="46">
        <v>0.44400000000000001</v>
      </c>
      <c r="BA92" s="46">
        <v>0.11700000000000001</v>
      </c>
      <c r="BB92" s="46">
        <v>77</v>
      </c>
      <c r="BC92" s="46" t="s">
        <v>416</v>
      </c>
      <c r="BD92" s="46">
        <v>0.40300000000000002</v>
      </c>
      <c r="BE92" s="46">
        <v>718</v>
      </c>
      <c r="BF92" s="46" t="s">
        <v>417</v>
      </c>
      <c r="BG92" s="46">
        <v>0.46800000000000003</v>
      </c>
      <c r="BH92" s="46">
        <v>8.7499999999999994E-2</v>
      </c>
      <c r="BI92" s="46">
        <v>44.2</v>
      </c>
      <c r="BJ92" s="46">
        <v>45.2</v>
      </c>
    </row>
    <row r="93" spans="1:62" x14ac:dyDescent="0.25">
      <c r="A93" s="46" t="s">
        <v>157</v>
      </c>
      <c r="B93" s="46">
        <v>28</v>
      </c>
      <c r="C93" s="46">
        <v>14</v>
      </c>
      <c r="D93" s="46">
        <v>14</v>
      </c>
      <c r="E93" s="52">
        <v>0.5</v>
      </c>
      <c r="F93" s="46">
        <v>0.626</v>
      </c>
      <c r="G93" s="46">
        <v>0.63600000000000001</v>
      </c>
      <c r="H93" s="46">
        <v>114</v>
      </c>
      <c r="I93" s="46">
        <v>4.9000000000000002E-2</v>
      </c>
      <c r="J93" s="46">
        <v>100</v>
      </c>
      <c r="K93" s="46">
        <v>4.2999999999999997E-2</v>
      </c>
      <c r="L93" s="46">
        <v>0.113</v>
      </c>
      <c r="M93" s="46">
        <v>0.623</v>
      </c>
      <c r="N93" s="46">
        <v>0.70599999999999996</v>
      </c>
      <c r="O93" s="46">
        <v>0.495</v>
      </c>
      <c r="P93" s="46">
        <v>0.55800000000000005</v>
      </c>
      <c r="Q93" s="46">
        <v>0.78400000000000003</v>
      </c>
      <c r="R93" s="46">
        <v>6.5</v>
      </c>
      <c r="S93" s="46">
        <v>2.4</v>
      </c>
      <c r="T93" s="46">
        <v>0.377</v>
      </c>
      <c r="U93" s="46">
        <v>83</v>
      </c>
      <c r="V93" s="46">
        <v>220</v>
      </c>
      <c r="W93" s="46">
        <v>0.6</v>
      </c>
      <c r="X93" s="46">
        <v>2.9</v>
      </c>
      <c r="Y93" s="46">
        <v>7.9</v>
      </c>
      <c r="Z93" s="46">
        <v>1.0900000000000001</v>
      </c>
      <c r="AA93" s="46">
        <v>3</v>
      </c>
      <c r="AB93" s="46">
        <v>0.63700000000000001</v>
      </c>
      <c r="AC93" s="46">
        <v>137</v>
      </c>
      <c r="AD93" s="46">
        <v>215</v>
      </c>
      <c r="AE93" s="46">
        <v>0.6</v>
      </c>
      <c r="AF93" s="46">
        <v>2.8</v>
      </c>
      <c r="AG93" s="46">
        <v>7.7</v>
      </c>
      <c r="AH93" s="46">
        <v>1.03</v>
      </c>
      <c r="AI93" s="46">
        <v>2.8</v>
      </c>
      <c r="AJ93" s="46">
        <v>0.376</v>
      </c>
      <c r="AK93" s="46">
        <v>0.38400000000000001</v>
      </c>
      <c r="AL93" s="46">
        <v>6.6000000000000003E-2</v>
      </c>
      <c r="AM93" s="46">
        <v>2.9000000000000001E-2</v>
      </c>
      <c r="AN93" s="46">
        <v>0.307</v>
      </c>
      <c r="AO93" s="46">
        <v>0.5</v>
      </c>
      <c r="AP93" s="46">
        <v>0.22600000000000001</v>
      </c>
      <c r="AQ93" s="46">
        <v>6.6</v>
      </c>
      <c r="AR93" s="46">
        <v>2.5</v>
      </c>
      <c r="AS93" s="46">
        <v>64</v>
      </c>
      <c r="AT93" s="46">
        <v>123.8</v>
      </c>
      <c r="AU93" s="46">
        <v>1.01</v>
      </c>
      <c r="AV93" s="46">
        <v>4772</v>
      </c>
      <c r="AW93" s="46">
        <v>0.499</v>
      </c>
      <c r="AX93" s="46">
        <v>13</v>
      </c>
      <c r="AY93" s="46">
        <v>45479</v>
      </c>
      <c r="AZ93" s="46">
        <v>0.53800000000000003</v>
      </c>
      <c r="BA93" s="46">
        <v>0.17100000000000001</v>
      </c>
      <c r="BB93" s="46">
        <v>76</v>
      </c>
      <c r="BC93" s="46" t="s">
        <v>382</v>
      </c>
      <c r="BD93" s="46">
        <v>0.5</v>
      </c>
      <c r="BE93" s="46">
        <v>729</v>
      </c>
      <c r="BF93" s="46" t="s">
        <v>418</v>
      </c>
      <c r="BG93" s="46">
        <v>0.502</v>
      </c>
      <c r="BH93" s="46">
        <v>8.5417000000000007E-2</v>
      </c>
      <c r="BI93" s="46">
        <v>45.2</v>
      </c>
      <c r="BJ93" s="46">
        <v>43.2</v>
      </c>
    </row>
    <row r="94" spans="1:62" x14ac:dyDescent="0.25">
      <c r="A94" s="46" t="s">
        <v>158</v>
      </c>
      <c r="B94" s="46">
        <v>29</v>
      </c>
      <c r="C94" s="46">
        <v>12</v>
      </c>
      <c r="D94" s="46">
        <v>17</v>
      </c>
      <c r="E94" s="52">
        <v>0.41399999999999998</v>
      </c>
      <c r="F94" s="46">
        <v>0.64300000000000002</v>
      </c>
      <c r="G94" s="46">
        <v>0.625</v>
      </c>
      <c r="H94" s="46">
        <v>258</v>
      </c>
      <c r="I94" s="46">
        <v>0.10100000000000001</v>
      </c>
      <c r="J94" s="46">
        <v>82</v>
      </c>
      <c r="K94" s="46">
        <v>3.2000000000000001E-2</v>
      </c>
      <c r="L94" s="46">
        <v>8.8999999999999996E-2</v>
      </c>
      <c r="M94" s="46">
        <v>0.63800000000000001</v>
      </c>
      <c r="N94" s="46">
        <v>0.73599999999999999</v>
      </c>
      <c r="O94" s="46">
        <v>0.47799999999999998</v>
      </c>
      <c r="P94" s="46">
        <v>0.52500000000000002</v>
      </c>
      <c r="Q94" s="46">
        <v>0.82599999999999996</v>
      </c>
      <c r="R94" s="46">
        <v>6.6</v>
      </c>
      <c r="S94" s="46">
        <v>2.4</v>
      </c>
      <c r="T94" s="46">
        <v>0.314</v>
      </c>
      <c r="U94" s="46">
        <v>53</v>
      </c>
      <c r="V94" s="46">
        <v>169</v>
      </c>
      <c r="W94" s="46">
        <v>0.44</v>
      </c>
      <c r="X94" s="46">
        <v>2.1</v>
      </c>
      <c r="Y94" s="46">
        <v>5.8</v>
      </c>
      <c r="Z94" s="46">
        <v>0.67</v>
      </c>
      <c r="AA94" s="46">
        <v>1.8</v>
      </c>
      <c r="AB94" s="46">
        <v>0.65300000000000002</v>
      </c>
      <c r="AC94" s="46">
        <v>126</v>
      </c>
      <c r="AD94" s="46">
        <v>193</v>
      </c>
      <c r="AE94" s="46">
        <v>0.5</v>
      </c>
      <c r="AF94" s="46">
        <v>2.4</v>
      </c>
      <c r="AG94" s="46">
        <v>6.7</v>
      </c>
      <c r="AH94" s="46">
        <v>0.85</v>
      </c>
      <c r="AI94" s="46">
        <v>2.2999999999999998</v>
      </c>
      <c r="AJ94" s="46">
        <v>0.32700000000000001</v>
      </c>
      <c r="AK94" s="46">
        <v>0.33600000000000002</v>
      </c>
      <c r="AL94" s="46">
        <v>7.5999999999999998E-2</v>
      </c>
      <c r="AM94" s="46">
        <v>2.5000000000000001E-2</v>
      </c>
      <c r="AN94" s="46">
        <v>0.24399999999999999</v>
      </c>
      <c r="AO94" s="46">
        <v>0.45500000000000002</v>
      </c>
      <c r="AP94" s="46">
        <v>0.13700000000000001</v>
      </c>
      <c r="AQ94" s="46">
        <v>6.3</v>
      </c>
      <c r="AR94" s="46">
        <v>2.1</v>
      </c>
      <c r="AS94" s="46">
        <v>52</v>
      </c>
      <c r="AT94" s="46">
        <v>69</v>
      </c>
      <c r="AU94" s="46">
        <v>0.91</v>
      </c>
      <c r="AV94" s="46">
        <v>4998</v>
      </c>
      <c r="AW94" s="46">
        <v>0.48799999999999999</v>
      </c>
      <c r="AX94" s="46">
        <v>16</v>
      </c>
      <c r="AY94" s="46">
        <v>45453</v>
      </c>
      <c r="AZ94" s="46">
        <v>0.375</v>
      </c>
      <c r="BA94" s="46">
        <v>0.20300000000000001</v>
      </c>
      <c r="BB94" s="46">
        <v>79</v>
      </c>
      <c r="BC94" s="46" t="s">
        <v>419</v>
      </c>
      <c r="BD94" s="46">
        <v>0.443</v>
      </c>
      <c r="BE94" s="46">
        <v>772</v>
      </c>
      <c r="BF94" s="46" t="s">
        <v>420</v>
      </c>
      <c r="BG94" s="46">
        <v>0.48099999999999998</v>
      </c>
      <c r="BH94" s="46">
        <v>9.0277999999999997E-2</v>
      </c>
      <c r="BI94" s="46">
        <v>47.7</v>
      </c>
      <c r="BJ94" s="46">
        <v>45.2</v>
      </c>
    </row>
    <row r="95" spans="1:62" x14ac:dyDescent="0.25">
      <c r="A95" s="46" t="s">
        <v>159</v>
      </c>
      <c r="B95" s="46">
        <v>17</v>
      </c>
      <c r="C95" s="46">
        <v>10</v>
      </c>
      <c r="D95" s="46">
        <v>7</v>
      </c>
      <c r="E95" s="52">
        <v>0.58799999999999997</v>
      </c>
      <c r="F95" s="46">
        <v>0.57599999999999996</v>
      </c>
      <c r="G95" s="46">
        <v>0.59299999999999997</v>
      </c>
      <c r="H95" s="46">
        <v>49</v>
      </c>
      <c r="I95" s="46">
        <v>3.4000000000000002E-2</v>
      </c>
      <c r="J95" s="46">
        <v>76</v>
      </c>
      <c r="K95" s="46">
        <v>5.2999999999999999E-2</v>
      </c>
      <c r="L95" s="46">
        <v>0.129</v>
      </c>
      <c r="M95" s="46">
        <v>0.58499999999999996</v>
      </c>
      <c r="N95" s="46">
        <v>0.65100000000000002</v>
      </c>
      <c r="O95" s="46">
        <v>0.46899999999999997</v>
      </c>
      <c r="P95" s="46">
        <v>0.53900000000000003</v>
      </c>
      <c r="Q95" s="46">
        <v>0.67</v>
      </c>
      <c r="R95" s="46">
        <v>6.7</v>
      </c>
      <c r="S95" s="46">
        <v>2.8</v>
      </c>
      <c r="T95" s="46">
        <v>0.46300000000000002</v>
      </c>
      <c r="U95" s="46">
        <v>69</v>
      </c>
      <c r="V95" s="46">
        <v>149</v>
      </c>
      <c r="W95" s="46">
        <v>0.69</v>
      </c>
      <c r="X95" s="46">
        <v>3.3</v>
      </c>
      <c r="Y95" s="46">
        <v>8.8000000000000007</v>
      </c>
      <c r="Z95" s="46">
        <v>1.53</v>
      </c>
      <c r="AA95" s="46">
        <v>4.0999999999999996</v>
      </c>
      <c r="AB95" s="46">
        <v>0.55100000000000005</v>
      </c>
      <c r="AC95" s="46">
        <v>86</v>
      </c>
      <c r="AD95" s="46">
        <v>156</v>
      </c>
      <c r="AE95" s="46">
        <v>0.74</v>
      </c>
      <c r="AF95" s="46">
        <v>3.5</v>
      </c>
      <c r="AG95" s="46">
        <v>9.1999999999999993</v>
      </c>
      <c r="AH95" s="46">
        <v>1.56</v>
      </c>
      <c r="AI95" s="46">
        <v>4.0999999999999996</v>
      </c>
      <c r="AJ95" s="46">
        <v>0.42</v>
      </c>
      <c r="AK95" s="46">
        <v>0.42599999999999999</v>
      </c>
      <c r="AL95" s="46">
        <v>0.06</v>
      </c>
      <c r="AM95" s="46">
        <v>3.4000000000000002E-2</v>
      </c>
      <c r="AN95" s="46">
        <v>0.35299999999999998</v>
      </c>
      <c r="AO95" s="46">
        <v>0.52900000000000003</v>
      </c>
      <c r="AP95" s="46">
        <v>0.31900000000000001</v>
      </c>
      <c r="AQ95" s="46">
        <v>6.6</v>
      </c>
      <c r="AR95" s="46">
        <v>2.8</v>
      </c>
      <c r="AS95" s="46">
        <v>49</v>
      </c>
      <c r="AT95" s="46">
        <v>56.6</v>
      </c>
      <c r="AU95" s="46">
        <v>0.99</v>
      </c>
      <c r="AV95" s="46">
        <v>2850</v>
      </c>
      <c r="AW95" s="46">
        <v>0.498</v>
      </c>
      <c r="AX95" s="46">
        <v>8</v>
      </c>
      <c r="AY95" s="46">
        <v>45474</v>
      </c>
      <c r="AZ95" s="46">
        <v>0.875</v>
      </c>
      <c r="BA95" s="46">
        <v>0.17799999999999999</v>
      </c>
      <c r="BB95" s="46">
        <v>45</v>
      </c>
      <c r="BC95" s="46" t="s">
        <v>421</v>
      </c>
      <c r="BD95" s="46">
        <v>0.55600000000000005</v>
      </c>
      <c r="BE95" s="46">
        <v>428</v>
      </c>
      <c r="BF95" s="46" t="s">
        <v>422</v>
      </c>
      <c r="BG95" s="46">
        <v>0.49299999999999999</v>
      </c>
      <c r="BH95" s="46">
        <v>8.7499999999999994E-2</v>
      </c>
      <c r="BI95" s="46">
        <v>47.5</v>
      </c>
      <c r="BJ95" s="46">
        <v>45</v>
      </c>
    </row>
    <row r="96" spans="1:62" x14ac:dyDescent="0.25">
      <c r="A96" s="46" t="s">
        <v>160</v>
      </c>
      <c r="B96" s="46">
        <v>14</v>
      </c>
      <c r="C96" s="46">
        <v>5</v>
      </c>
      <c r="D96" s="46">
        <v>9</v>
      </c>
      <c r="E96" s="52">
        <v>0.35699999999999998</v>
      </c>
      <c r="F96" s="46">
        <v>0.57499999999999996</v>
      </c>
      <c r="G96" s="46">
        <v>0.57999999999999996</v>
      </c>
      <c r="H96" s="46">
        <v>44</v>
      </c>
      <c r="I96" s="46">
        <v>3.5000000000000003E-2</v>
      </c>
      <c r="J96" s="46">
        <v>42</v>
      </c>
      <c r="K96" s="46">
        <v>3.3000000000000002E-2</v>
      </c>
      <c r="L96" s="46">
        <v>7.9000000000000001E-2</v>
      </c>
      <c r="M96" s="46">
        <v>0.57499999999999996</v>
      </c>
      <c r="N96" s="46">
        <v>0.64</v>
      </c>
      <c r="O96" s="46">
        <v>0.48799999999999999</v>
      </c>
      <c r="P96" s="46">
        <v>0.53</v>
      </c>
      <c r="Q96" s="46">
        <v>0.65600000000000003</v>
      </c>
      <c r="R96" s="46">
        <v>6.9</v>
      </c>
      <c r="S96" s="46">
        <v>2.9</v>
      </c>
      <c r="T96" s="46">
        <v>0.33600000000000002</v>
      </c>
      <c r="U96" s="46">
        <v>37</v>
      </c>
      <c r="V96" s="46">
        <v>110</v>
      </c>
      <c r="W96" s="46">
        <v>0.6</v>
      </c>
      <c r="X96" s="46">
        <v>2.8</v>
      </c>
      <c r="Y96" s="46">
        <v>7.9</v>
      </c>
      <c r="Z96" s="46">
        <v>0.95</v>
      </c>
      <c r="AA96" s="46">
        <v>2.6</v>
      </c>
      <c r="AB96" s="46">
        <v>0.59099999999999997</v>
      </c>
      <c r="AC96" s="46">
        <v>91</v>
      </c>
      <c r="AD96" s="46">
        <v>154</v>
      </c>
      <c r="AE96" s="46">
        <v>0.84</v>
      </c>
      <c r="AF96" s="46">
        <v>3.9</v>
      </c>
      <c r="AG96" s="46">
        <v>11</v>
      </c>
      <c r="AH96" s="46">
        <v>1.62</v>
      </c>
      <c r="AI96" s="46">
        <v>4.5</v>
      </c>
      <c r="AJ96" s="46">
        <v>0.36499999999999999</v>
      </c>
      <c r="AK96" s="46">
        <v>0.38600000000000001</v>
      </c>
      <c r="AL96" s="46">
        <v>0.10299999999999999</v>
      </c>
      <c r="AM96" s="46">
        <v>0.03</v>
      </c>
      <c r="AN96" s="46">
        <v>0.28999999999999998</v>
      </c>
      <c r="AO96" s="46">
        <v>0.48399999999999999</v>
      </c>
      <c r="AP96" s="46">
        <v>0.20300000000000001</v>
      </c>
      <c r="AQ96" s="46">
        <v>6.6</v>
      </c>
      <c r="AR96" s="46">
        <v>2.4</v>
      </c>
      <c r="AS96" s="46">
        <v>84</v>
      </c>
      <c r="AT96" s="46">
        <v>90.9</v>
      </c>
      <c r="AU96" s="46">
        <v>0.86</v>
      </c>
      <c r="AV96" s="46">
        <v>2448</v>
      </c>
      <c r="AW96" s="46">
        <v>0.47299999999999998</v>
      </c>
      <c r="AX96" s="46">
        <v>8</v>
      </c>
      <c r="AY96" s="46">
        <v>45445</v>
      </c>
      <c r="AZ96" s="46">
        <v>0.75</v>
      </c>
      <c r="BA96" s="46">
        <v>0.20499999999999999</v>
      </c>
      <c r="BB96" s="46">
        <v>39</v>
      </c>
      <c r="BC96" s="46" t="s">
        <v>423</v>
      </c>
      <c r="BD96" s="46">
        <v>0.38500000000000001</v>
      </c>
      <c r="BE96" s="46">
        <v>365</v>
      </c>
      <c r="BF96" s="46" t="s">
        <v>424</v>
      </c>
      <c r="BG96" s="46">
        <v>0.43</v>
      </c>
      <c r="BH96" s="46">
        <v>8.3333000000000004E-2</v>
      </c>
      <c r="BI96" s="46">
        <v>43.1</v>
      </c>
      <c r="BJ96" s="46">
        <v>41.2</v>
      </c>
    </row>
    <row r="97" spans="1:62" x14ac:dyDescent="0.25">
      <c r="A97" s="46" t="s">
        <v>161</v>
      </c>
      <c r="B97" s="46">
        <v>3</v>
      </c>
      <c r="C97" s="46">
        <v>0</v>
      </c>
      <c r="D97" s="46">
        <v>3</v>
      </c>
      <c r="E97" s="52">
        <v>0</v>
      </c>
      <c r="F97" s="46">
        <v>0.57399999999999995</v>
      </c>
      <c r="G97" s="46">
        <v>0.57999999999999996</v>
      </c>
      <c r="H97" s="46">
        <v>8</v>
      </c>
      <c r="I97" s="46">
        <v>4.1000000000000002E-2</v>
      </c>
      <c r="J97" s="46">
        <v>8</v>
      </c>
      <c r="K97" s="46">
        <v>4.1000000000000002E-2</v>
      </c>
      <c r="L97" s="46">
        <v>9.6000000000000002E-2</v>
      </c>
      <c r="M97" s="46">
        <v>0.57899999999999996</v>
      </c>
      <c r="N97" s="46">
        <v>0.67500000000000004</v>
      </c>
      <c r="O97" s="46">
        <v>0.434</v>
      </c>
      <c r="P97" s="46">
        <v>0.48</v>
      </c>
      <c r="Q97" s="46">
        <v>0.625</v>
      </c>
      <c r="R97" s="46">
        <v>6.2</v>
      </c>
      <c r="S97" s="46">
        <v>2.6</v>
      </c>
      <c r="T97" s="46">
        <v>0.29399999999999998</v>
      </c>
      <c r="U97" s="46">
        <v>5</v>
      </c>
      <c r="V97" s="46">
        <v>17</v>
      </c>
      <c r="W97" s="46">
        <v>0.52</v>
      </c>
      <c r="X97" s="46">
        <v>2.1</v>
      </c>
      <c r="Y97" s="46">
        <v>5.7</v>
      </c>
      <c r="Z97" s="46">
        <v>0.63</v>
      </c>
      <c r="AA97" s="46">
        <v>1.7</v>
      </c>
      <c r="AB97" s="46">
        <v>0.4</v>
      </c>
      <c r="AC97" s="46">
        <v>8</v>
      </c>
      <c r="AD97" s="46">
        <v>20</v>
      </c>
      <c r="AE97" s="46">
        <v>0.63</v>
      </c>
      <c r="AF97" s="46">
        <v>2.5</v>
      </c>
      <c r="AG97" s="46">
        <v>6.7</v>
      </c>
      <c r="AH97" s="46">
        <v>1.5</v>
      </c>
      <c r="AI97" s="46">
        <v>4</v>
      </c>
      <c r="AJ97" s="46">
        <v>0.34399999999999997</v>
      </c>
      <c r="AK97" s="46">
        <v>0.34300000000000003</v>
      </c>
      <c r="AL97" s="46">
        <v>3.2000000000000001E-2</v>
      </c>
      <c r="AM97" s="46">
        <v>1.7999999999999999E-2</v>
      </c>
      <c r="AN97" s="46">
        <v>0.317</v>
      </c>
      <c r="AO97" s="46">
        <v>0.39200000000000002</v>
      </c>
      <c r="AP97" s="46">
        <v>0.152</v>
      </c>
      <c r="AQ97" s="46">
        <v>6.7</v>
      </c>
      <c r="AR97" s="46">
        <v>2.2999999999999998</v>
      </c>
      <c r="AS97" s="46">
        <v>109</v>
      </c>
      <c r="AT97" s="46">
        <v>83.3</v>
      </c>
      <c r="AU97" s="46">
        <v>0.81</v>
      </c>
      <c r="AV97" s="46">
        <v>418</v>
      </c>
      <c r="AW97" s="46">
        <v>0.45200000000000001</v>
      </c>
      <c r="AX97" s="46">
        <v>1</v>
      </c>
      <c r="AY97" s="46" t="s">
        <v>425</v>
      </c>
      <c r="AZ97" s="46">
        <v>0</v>
      </c>
      <c r="BA97" s="46">
        <v>0.125</v>
      </c>
      <c r="BB97" s="46">
        <v>8</v>
      </c>
      <c r="BC97" s="46">
        <v>45328</v>
      </c>
      <c r="BD97" s="46">
        <v>0.25</v>
      </c>
      <c r="BE97" s="46">
        <v>65</v>
      </c>
      <c r="BF97" s="46" t="s">
        <v>426</v>
      </c>
      <c r="BG97" s="46">
        <v>0.38500000000000001</v>
      </c>
      <c r="BH97" s="46">
        <v>8.0556000000000003E-2</v>
      </c>
      <c r="BI97" s="46">
        <v>43.6</v>
      </c>
      <c r="BJ97" s="46">
        <v>50.1</v>
      </c>
    </row>
    <row r="98" spans="1:62" x14ac:dyDescent="0.25">
      <c r="A98" s="46" t="s">
        <v>162</v>
      </c>
      <c r="B98" s="46">
        <v>21</v>
      </c>
      <c r="C98" s="46">
        <v>7</v>
      </c>
      <c r="D98" s="46">
        <v>14</v>
      </c>
      <c r="E98" s="52">
        <v>0.33300000000000002</v>
      </c>
      <c r="F98" s="46">
        <v>0.63700000000000001</v>
      </c>
      <c r="G98" s="46">
        <v>0.624</v>
      </c>
      <c r="H98" s="46">
        <v>187</v>
      </c>
      <c r="I98" s="46">
        <v>0.106</v>
      </c>
      <c r="J98" s="46">
        <v>76</v>
      </c>
      <c r="K98" s="46">
        <v>4.2999999999999997E-2</v>
      </c>
      <c r="L98" s="46">
        <v>0.107</v>
      </c>
      <c r="M98" s="46">
        <v>0.59899999999999998</v>
      </c>
      <c r="N98" s="46">
        <v>0.748</v>
      </c>
      <c r="O98" s="46">
        <v>0.47099999999999997</v>
      </c>
      <c r="P98" s="46">
        <v>0.52800000000000002</v>
      </c>
      <c r="Q98" s="46">
        <v>0.79600000000000004</v>
      </c>
      <c r="R98" s="46">
        <v>6.5</v>
      </c>
      <c r="S98" s="46">
        <v>2.2999999999999998</v>
      </c>
      <c r="T98" s="46">
        <v>0.33300000000000002</v>
      </c>
      <c r="U98" s="46">
        <v>40</v>
      </c>
      <c r="V98" s="46">
        <v>120</v>
      </c>
      <c r="W98" s="46">
        <v>0.43</v>
      </c>
      <c r="X98" s="46">
        <v>2.2000000000000002</v>
      </c>
      <c r="Y98" s="46">
        <v>5.7</v>
      </c>
      <c r="Z98" s="46">
        <v>0.73</v>
      </c>
      <c r="AA98" s="46">
        <v>1.9</v>
      </c>
      <c r="AB98" s="46">
        <v>0.61899999999999999</v>
      </c>
      <c r="AC98" s="46">
        <v>91</v>
      </c>
      <c r="AD98" s="46">
        <v>147</v>
      </c>
      <c r="AE98" s="46">
        <v>0.54</v>
      </c>
      <c r="AF98" s="46">
        <v>2.7</v>
      </c>
      <c r="AG98" s="46">
        <v>7</v>
      </c>
      <c r="AH98" s="46">
        <v>1.02</v>
      </c>
      <c r="AI98" s="46">
        <v>2.7</v>
      </c>
      <c r="AJ98" s="46">
        <v>0.32100000000000001</v>
      </c>
      <c r="AK98" s="46">
        <v>0.33700000000000002</v>
      </c>
      <c r="AL98" s="46">
        <v>9.7000000000000003E-2</v>
      </c>
      <c r="AM98" s="46">
        <v>2.5999999999999999E-2</v>
      </c>
      <c r="AN98" s="46">
        <v>0.246</v>
      </c>
      <c r="AO98" s="46">
        <v>0.437</v>
      </c>
      <c r="AP98" s="46">
        <v>0.14399999999999999</v>
      </c>
      <c r="AQ98" s="46">
        <v>6.3</v>
      </c>
      <c r="AR98" s="46">
        <v>2</v>
      </c>
      <c r="AS98" s="46">
        <v>60</v>
      </c>
      <c r="AT98" s="46">
        <v>92.2</v>
      </c>
      <c r="AU98" s="46">
        <v>0.89</v>
      </c>
      <c r="AV98" s="46">
        <v>3503</v>
      </c>
      <c r="AW98" s="46">
        <v>0.48099999999999998</v>
      </c>
      <c r="AX98" s="46">
        <v>16</v>
      </c>
      <c r="AY98" s="46">
        <v>45394</v>
      </c>
      <c r="AZ98" s="46">
        <v>0.25</v>
      </c>
      <c r="BA98" s="46">
        <v>0.29099999999999998</v>
      </c>
      <c r="BB98" s="46">
        <v>55</v>
      </c>
      <c r="BC98" s="46" t="s">
        <v>427</v>
      </c>
      <c r="BD98" s="46">
        <v>0.34499999999999997</v>
      </c>
      <c r="BE98" s="46">
        <v>551</v>
      </c>
      <c r="BF98" s="46" t="s">
        <v>428</v>
      </c>
      <c r="BG98" s="46">
        <v>0.46800000000000003</v>
      </c>
      <c r="BH98" s="46">
        <v>8.8888999999999996E-2</v>
      </c>
      <c r="BI98" s="46">
        <v>48.8</v>
      </c>
      <c r="BJ98" s="46">
        <v>46</v>
      </c>
    </row>
    <row r="99" spans="1:62" x14ac:dyDescent="0.25">
      <c r="A99" s="46" t="s">
        <v>163</v>
      </c>
      <c r="B99" s="46">
        <v>17</v>
      </c>
      <c r="C99" s="46">
        <v>10</v>
      </c>
      <c r="D99" s="46">
        <v>17</v>
      </c>
      <c r="E99" s="52">
        <v>0.58799999999999997</v>
      </c>
      <c r="F99" s="46">
        <v>0.67500000000000004</v>
      </c>
      <c r="G99" s="46">
        <v>0.65200000000000002</v>
      </c>
      <c r="H99" s="46">
        <v>137</v>
      </c>
      <c r="I99" s="46">
        <v>0.10299999999999999</v>
      </c>
      <c r="J99" s="46">
        <v>27</v>
      </c>
      <c r="K99" s="46">
        <v>0.02</v>
      </c>
      <c r="L99" s="46">
        <v>6.0999999999999999E-2</v>
      </c>
      <c r="M99" s="46">
        <v>0.66800000000000004</v>
      </c>
      <c r="N99" s="46">
        <v>0.76200000000000001</v>
      </c>
      <c r="O99" s="46">
        <v>0.499</v>
      </c>
      <c r="P99" s="46">
        <v>0.53100000000000003</v>
      </c>
      <c r="Q99" s="46">
        <v>0.874</v>
      </c>
      <c r="R99" s="46">
        <v>6.2</v>
      </c>
      <c r="S99" s="46">
        <v>2</v>
      </c>
      <c r="T99" s="46">
        <v>0.34899999999999998</v>
      </c>
      <c r="U99" s="46">
        <v>38</v>
      </c>
      <c r="V99" s="46">
        <v>109</v>
      </c>
      <c r="W99" s="46">
        <v>0.51</v>
      </c>
      <c r="X99" s="46">
        <v>2.4</v>
      </c>
      <c r="Y99" s="46">
        <v>6.4</v>
      </c>
      <c r="Z99" s="46">
        <v>0.84</v>
      </c>
      <c r="AA99" s="46">
        <v>2.2000000000000002</v>
      </c>
      <c r="AB99" s="46">
        <v>0.71899999999999997</v>
      </c>
      <c r="AC99" s="46">
        <v>69</v>
      </c>
      <c r="AD99" s="46">
        <v>96</v>
      </c>
      <c r="AE99" s="46">
        <v>0.45</v>
      </c>
      <c r="AF99" s="46">
        <v>2.1</v>
      </c>
      <c r="AG99" s="46">
        <v>5.6</v>
      </c>
      <c r="AH99" s="46">
        <v>0.6</v>
      </c>
      <c r="AI99" s="46">
        <v>1.6</v>
      </c>
      <c r="AJ99" s="46">
        <v>0.34200000000000003</v>
      </c>
      <c r="AK99" s="46">
        <v>0.34300000000000003</v>
      </c>
      <c r="AL99" s="46">
        <v>6.6000000000000003E-2</v>
      </c>
      <c r="AM99" s="46">
        <v>3.2000000000000001E-2</v>
      </c>
      <c r="AN99" s="46">
        <v>0.27500000000000002</v>
      </c>
      <c r="AO99" s="46">
        <v>0.46800000000000003</v>
      </c>
      <c r="AP99" s="46">
        <v>0.17799999999999999</v>
      </c>
      <c r="AQ99" s="46">
        <v>6.3</v>
      </c>
      <c r="AR99" s="46">
        <v>2.1</v>
      </c>
      <c r="AS99" s="46">
        <v>56</v>
      </c>
      <c r="AT99" s="46">
        <v>44.1</v>
      </c>
      <c r="AU99" s="46">
        <v>1.05</v>
      </c>
      <c r="AV99" s="46">
        <v>2673</v>
      </c>
      <c r="AW99" s="46">
        <v>0.50800000000000001</v>
      </c>
      <c r="AX99" s="46">
        <v>6</v>
      </c>
      <c r="AY99" s="46">
        <v>45384</v>
      </c>
      <c r="AZ99" s="46">
        <v>0.66700000000000004</v>
      </c>
      <c r="BA99" s="46">
        <v>0.13300000000000001</v>
      </c>
      <c r="BB99" s="46">
        <v>45</v>
      </c>
      <c r="BC99" s="46" t="s">
        <v>88</v>
      </c>
      <c r="BD99" s="46">
        <v>0.6</v>
      </c>
      <c r="BE99" s="46">
        <v>429</v>
      </c>
      <c r="BF99" s="46" t="s">
        <v>429</v>
      </c>
      <c r="BG99" s="46">
        <v>0.52700000000000002</v>
      </c>
      <c r="BH99" s="46">
        <v>8.6805999999999994E-2</v>
      </c>
      <c r="BI99" s="46">
        <v>47.1</v>
      </c>
      <c r="BJ99" s="46">
        <v>47.6</v>
      </c>
    </row>
    <row r="100" spans="1:62" x14ac:dyDescent="0.25">
      <c r="A100" s="46" t="s">
        <v>164</v>
      </c>
      <c r="B100" s="46">
        <v>39</v>
      </c>
      <c r="C100" s="46">
        <v>16</v>
      </c>
      <c r="D100" s="46">
        <v>23</v>
      </c>
      <c r="E100" s="52">
        <v>0.41</v>
      </c>
      <c r="F100" s="46">
        <v>0.61299999999999999</v>
      </c>
      <c r="G100" s="46">
        <v>0.61399999999999999</v>
      </c>
      <c r="H100" s="46">
        <v>163</v>
      </c>
      <c r="I100" s="46">
        <v>0.05</v>
      </c>
      <c r="J100" s="46">
        <v>110</v>
      </c>
      <c r="K100" s="46">
        <v>3.4000000000000002E-2</v>
      </c>
      <c r="L100" s="46">
        <v>8.2000000000000003E-2</v>
      </c>
      <c r="M100" s="46">
        <v>0.59099999999999997</v>
      </c>
      <c r="N100" s="46">
        <v>0.68799999999999994</v>
      </c>
      <c r="O100" s="46">
        <v>0.505</v>
      </c>
      <c r="P100" s="46">
        <v>0.55000000000000004</v>
      </c>
      <c r="Q100" s="46">
        <v>0.753</v>
      </c>
      <c r="R100" s="46">
        <v>6.6</v>
      </c>
      <c r="S100" s="46">
        <v>2.5</v>
      </c>
      <c r="T100" s="46">
        <v>0.377</v>
      </c>
      <c r="U100" s="46">
        <v>100</v>
      </c>
      <c r="V100" s="46">
        <v>265</v>
      </c>
      <c r="W100" s="46">
        <v>0.53</v>
      </c>
      <c r="X100" s="46">
        <v>2.4</v>
      </c>
      <c r="Y100" s="46">
        <v>6.8</v>
      </c>
      <c r="Z100" s="46">
        <v>0.9</v>
      </c>
      <c r="AA100" s="46">
        <v>2.6</v>
      </c>
      <c r="AB100" s="46">
        <v>0.61599999999999999</v>
      </c>
      <c r="AC100" s="46">
        <v>197</v>
      </c>
      <c r="AD100" s="46">
        <v>320</v>
      </c>
      <c r="AE100" s="46">
        <v>0.64</v>
      </c>
      <c r="AF100" s="46">
        <v>2.9</v>
      </c>
      <c r="AG100" s="46">
        <v>8.1999999999999993</v>
      </c>
      <c r="AH100" s="46">
        <v>1.1100000000000001</v>
      </c>
      <c r="AI100" s="46">
        <v>3.2</v>
      </c>
      <c r="AJ100" s="46">
        <v>0.36399999999999999</v>
      </c>
      <c r="AK100" s="46">
        <v>0.38500000000000001</v>
      </c>
      <c r="AL100" s="46">
        <v>9.8000000000000004E-2</v>
      </c>
      <c r="AM100" s="46">
        <v>2.7E-2</v>
      </c>
      <c r="AN100" s="46">
        <v>0.28799999999999998</v>
      </c>
      <c r="AO100" s="46">
        <v>0.48299999999999998</v>
      </c>
      <c r="AP100" s="46">
        <v>0.19800000000000001</v>
      </c>
      <c r="AQ100" s="46">
        <v>6.6</v>
      </c>
      <c r="AR100" s="46">
        <v>2.4</v>
      </c>
      <c r="AS100" s="46">
        <v>51</v>
      </c>
      <c r="AT100" s="46">
        <v>90.2</v>
      </c>
      <c r="AU100" s="46">
        <v>0.94</v>
      </c>
      <c r="AV100" s="46">
        <v>6597</v>
      </c>
      <c r="AW100" s="46">
        <v>0.48799999999999999</v>
      </c>
      <c r="AX100" s="46">
        <v>31</v>
      </c>
      <c r="AY100" s="46" t="s">
        <v>430</v>
      </c>
      <c r="AZ100" s="46">
        <v>0.48399999999999999</v>
      </c>
      <c r="BA100" s="46">
        <v>0.27900000000000003</v>
      </c>
      <c r="BB100" s="46">
        <v>111</v>
      </c>
      <c r="BC100" s="46" t="s">
        <v>431</v>
      </c>
      <c r="BD100" s="46">
        <v>0.42299999999999999</v>
      </c>
      <c r="BE100" s="46">
        <v>1002</v>
      </c>
      <c r="BF100" s="46" t="s">
        <v>432</v>
      </c>
      <c r="BG100" s="46">
        <v>0.47399999999999998</v>
      </c>
      <c r="BH100" s="46">
        <v>9.0277999999999997E-2</v>
      </c>
      <c r="BI100" s="46">
        <v>45.6</v>
      </c>
      <c r="BJ100" s="46">
        <v>46</v>
      </c>
    </row>
    <row r="101" spans="1:62" x14ac:dyDescent="0.25">
      <c r="A101" s="46" t="s">
        <v>165</v>
      </c>
      <c r="B101" s="46">
        <v>18</v>
      </c>
      <c r="C101" s="46">
        <v>7</v>
      </c>
      <c r="D101" s="46">
        <v>11</v>
      </c>
      <c r="E101" s="52">
        <v>0.38900000000000001</v>
      </c>
      <c r="F101" s="46">
        <v>0.63600000000000001</v>
      </c>
      <c r="G101" s="46">
        <v>0.622</v>
      </c>
      <c r="H101" s="46">
        <v>115</v>
      </c>
      <c r="I101" s="46">
        <v>8.5999999999999993E-2</v>
      </c>
      <c r="J101" s="46">
        <v>40</v>
      </c>
      <c r="K101" s="46">
        <v>0.03</v>
      </c>
      <c r="L101" s="46">
        <v>8.4000000000000005E-2</v>
      </c>
      <c r="M101" s="46">
        <v>0.64400000000000002</v>
      </c>
      <c r="N101" s="46">
        <v>0.70399999999999996</v>
      </c>
      <c r="O101" s="46">
        <v>0.51400000000000001</v>
      </c>
      <c r="P101" s="46">
        <v>0.56100000000000005</v>
      </c>
      <c r="Q101" s="46">
        <v>0.79400000000000004</v>
      </c>
      <c r="R101" s="46">
        <v>6.2</v>
      </c>
      <c r="S101" s="46">
        <v>2.2999999999999998</v>
      </c>
      <c r="T101" s="46">
        <v>0.32500000000000001</v>
      </c>
      <c r="U101" s="46">
        <v>26</v>
      </c>
      <c r="V101" s="46">
        <v>80</v>
      </c>
      <c r="W101" s="46">
        <v>0.39</v>
      </c>
      <c r="X101" s="46">
        <v>1.9</v>
      </c>
      <c r="Y101" s="46">
        <v>4.4000000000000004</v>
      </c>
      <c r="Z101" s="46">
        <v>0.6</v>
      </c>
      <c r="AA101" s="46">
        <v>1.4</v>
      </c>
      <c r="AB101" s="46">
        <v>0.60399999999999998</v>
      </c>
      <c r="AC101" s="46">
        <v>67</v>
      </c>
      <c r="AD101" s="46">
        <v>111</v>
      </c>
      <c r="AE101" s="46">
        <v>0.52</v>
      </c>
      <c r="AF101" s="46">
        <v>2.6</v>
      </c>
      <c r="AG101" s="46">
        <v>6.2</v>
      </c>
      <c r="AH101" s="46">
        <v>1.02</v>
      </c>
      <c r="AI101" s="46">
        <v>2.4</v>
      </c>
      <c r="AJ101" s="46">
        <v>0.318</v>
      </c>
      <c r="AK101" s="46">
        <v>0.32800000000000001</v>
      </c>
      <c r="AL101" s="46">
        <v>0.113</v>
      </c>
      <c r="AM101" s="46">
        <v>4.1000000000000002E-2</v>
      </c>
      <c r="AN101" s="46">
        <v>0.20399999999999999</v>
      </c>
      <c r="AO101" s="46">
        <v>0.502</v>
      </c>
      <c r="AP101" s="46">
        <v>0.128</v>
      </c>
      <c r="AQ101" s="46">
        <v>6.2</v>
      </c>
      <c r="AR101" s="46">
        <v>2</v>
      </c>
      <c r="AS101" s="46">
        <v>78</v>
      </c>
      <c r="AT101" s="46">
        <v>112.9</v>
      </c>
      <c r="AU101" s="46">
        <v>0.87</v>
      </c>
      <c r="AV101" s="46">
        <v>2588</v>
      </c>
      <c r="AW101" s="46">
        <v>0.48199999999999998</v>
      </c>
      <c r="AX101" s="46">
        <v>12</v>
      </c>
      <c r="AY101" s="46">
        <v>45449</v>
      </c>
      <c r="AZ101" s="46">
        <v>0.5</v>
      </c>
      <c r="BA101" s="46">
        <v>0.27900000000000003</v>
      </c>
      <c r="BB101" s="46">
        <v>43</v>
      </c>
      <c r="BC101" s="46" t="s">
        <v>433</v>
      </c>
      <c r="BD101" s="46">
        <v>0.41899999999999998</v>
      </c>
      <c r="BE101" s="46">
        <v>417</v>
      </c>
      <c r="BF101" s="46" t="s">
        <v>434</v>
      </c>
      <c r="BG101" s="46">
        <v>0.47</v>
      </c>
      <c r="BH101" s="46">
        <v>6.9444000000000006E-2</v>
      </c>
      <c r="BI101" s="46">
        <v>42</v>
      </c>
      <c r="BJ101" s="46">
        <v>41.9</v>
      </c>
    </row>
    <row r="112" spans="1:62" x14ac:dyDescent="0.25">
      <c r="E112" s="42"/>
    </row>
  </sheetData>
  <hyperlinks>
    <hyperlink ref="A2" r:id="rId1" xr:uid="{96787937-8366-45A4-A009-AD238A14CD78}"/>
    <hyperlink ref="B2" r:id="rId2" display="58" xr:uid="{4759D089-2779-4CEA-A08A-439D5D95621E}"/>
    <hyperlink ref="A3" r:id="rId3" xr:uid="{0CE71783-CADB-4B0D-AB9B-17F0B338A28E}"/>
    <hyperlink ref="B3" r:id="rId4" display="74" xr:uid="{DDEE0225-34FE-4A2C-9FDE-7523A6FBAB52}"/>
    <hyperlink ref="A4" r:id="rId5" xr:uid="{8F63BF4F-2684-4A79-84A3-0A941B94FB9E}"/>
    <hyperlink ref="B4" r:id="rId6" display="65" xr:uid="{15811936-1CF9-4911-8A96-F4CDD61B2350}"/>
    <hyperlink ref="A5" r:id="rId7" xr:uid="{6768970D-BAE0-4F15-81BD-FB4C562E4386}"/>
    <hyperlink ref="B5" r:id="rId8" display="70" xr:uid="{A8B00A8B-A371-4568-AC03-EF3984BA4724}"/>
    <hyperlink ref="A6" r:id="rId9" xr:uid="{3A6CC006-3644-4DBC-B358-11C119C7A78C}"/>
    <hyperlink ref="B6" r:id="rId10" display="86" xr:uid="{88F72CBF-F259-4F67-B099-8EA7AFA58938}"/>
    <hyperlink ref="A7" r:id="rId11" xr:uid="{20A359C8-FF84-4A06-B120-5657132465D0}"/>
    <hyperlink ref="B7" r:id="rId12" display="75" xr:uid="{F0C4D114-2553-433F-AEC5-473C2FBEFB4D}"/>
    <hyperlink ref="A8" r:id="rId13" xr:uid="{9885DB98-BC4A-4744-8E31-8AF6785F0FF7}"/>
    <hyperlink ref="B8" r:id="rId14" display="73" xr:uid="{5EB6D47F-06DC-442F-82FF-0F44535F1F4E}"/>
    <hyperlink ref="A9" r:id="rId15" xr:uid="{3F6C076F-284B-4F19-8732-020F5B83B354}"/>
    <hyperlink ref="B9" r:id="rId16" display="71" xr:uid="{74BD7F05-AF68-4E6B-9196-74B17093580D}"/>
    <hyperlink ref="A10" r:id="rId17" xr:uid="{D62C2EFC-461E-4B5C-9854-7B1B4E4E0299}"/>
    <hyperlink ref="B10" r:id="rId18" display="71" xr:uid="{68BCAA00-172B-478F-A9CF-4D87557282DC}"/>
    <hyperlink ref="A11" r:id="rId19" xr:uid="{0A2F7E8A-C671-425C-ABE5-F2FCEBF76A87}"/>
    <hyperlink ref="B11" r:id="rId20" display="71" xr:uid="{027C6969-D59E-4A0D-A658-D99BA5FF1B14}"/>
    <hyperlink ref="A12" r:id="rId21" xr:uid="{6C10AB9F-9591-49B9-A4C2-B4A10E525812}"/>
    <hyperlink ref="B12" r:id="rId22" display="79" xr:uid="{1038557E-2730-41D7-8744-C58CB60C7C5C}"/>
    <hyperlink ref="A13" r:id="rId23" xr:uid="{40AAFE0C-B6DF-455C-9CC9-7CFE0D840ECF}"/>
    <hyperlink ref="B13" r:id="rId24" display="63" xr:uid="{D689BF76-B3FF-48BA-AF2F-9336BF2CD6D6}"/>
    <hyperlink ref="A14" r:id="rId25" xr:uid="{CE2C8B92-0FB4-4A62-B8C2-688FB8F7495B}"/>
    <hyperlink ref="B14" r:id="rId26" display="62" xr:uid="{213D21B8-575A-4B48-8DA9-97EDA4A3DE7A}"/>
    <hyperlink ref="A15" r:id="rId27" xr:uid="{7A090A86-661A-4F5A-A09E-8EA3EA1DD872}"/>
    <hyperlink ref="B15" r:id="rId28" display="66" xr:uid="{1321EDE7-5787-441E-9CCE-FD6D0B09E159}"/>
    <hyperlink ref="A16" r:id="rId29" xr:uid="{91910777-520B-4C43-BDCF-44A635DE5A2B}"/>
    <hyperlink ref="B16" r:id="rId30" display="53" xr:uid="{D24F3072-E953-4BC2-B4A4-516733EC2CC9}"/>
    <hyperlink ref="A17" r:id="rId31" xr:uid="{22C5034B-2A22-4436-9EED-D3BBA8624692}"/>
    <hyperlink ref="B17" r:id="rId32" display="64" xr:uid="{9AC99474-3363-4CC7-B3B2-CCB643BCC109}"/>
    <hyperlink ref="A18" r:id="rId33" xr:uid="{E973477B-C65E-4DE9-8AFE-E54F010220AE}"/>
    <hyperlink ref="B18" r:id="rId34" display="46" xr:uid="{FC1732CD-1BB2-4722-9477-5D176163A922}"/>
    <hyperlink ref="A19" r:id="rId35" xr:uid="{4B083BF8-292E-42CC-99B1-CAD87E3E5544}"/>
    <hyperlink ref="B19" r:id="rId36" display="54" xr:uid="{1B053FD9-868E-4561-824A-9A080D22778F}"/>
    <hyperlink ref="A20" r:id="rId37" xr:uid="{D557BEA5-183C-4BC3-90D4-0B84D3A3CFB8}"/>
    <hyperlink ref="B20" r:id="rId38" display="59" xr:uid="{8EA45704-1E12-4655-83C1-3CE29F2A757C}"/>
    <hyperlink ref="A21" r:id="rId39" xr:uid="{2AD597EC-BD3E-4539-B136-3305F6CB476C}"/>
    <hyperlink ref="B21" r:id="rId40" display="62" xr:uid="{F175C40D-41AA-4F97-A882-198806E8CC70}"/>
    <hyperlink ref="A22" r:id="rId41" xr:uid="{DF9890F4-78A1-4CCB-89F9-1D8424E0AFB2}"/>
    <hyperlink ref="B22" r:id="rId42" display="51" xr:uid="{007FF406-076D-4DDD-A1D7-08195C72DA7F}"/>
    <hyperlink ref="A23" r:id="rId43" xr:uid="{E58610F3-6AE9-4FF0-828C-D25C3C11A3A9}"/>
    <hyperlink ref="B23" r:id="rId44" display="59" xr:uid="{58600EF1-EE14-4733-81A7-92E07B3BB874}"/>
    <hyperlink ref="A24" r:id="rId45" xr:uid="{B2313C0D-CE8B-4254-B6AE-6481C0525B2E}"/>
    <hyperlink ref="B24" r:id="rId46" display="59" xr:uid="{26B29973-2FB0-4BB3-BB15-7959C78FB0C8}"/>
    <hyperlink ref="A25" r:id="rId47" xr:uid="{F347B30A-98B4-4883-81F7-08083D365555}"/>
    <hyperlink ref="B25" r:id="rId48" display="40" xr:uid="{1606C4C1-68FA-4503-B7D5-4E3AD9C90539}"/>
    <hyperlink ref="A26" r:id="rId49" xr:uid="{F95D6826-7FD9-4397-82DB-D964CE74B1E9}"/>
    <hyperlink ref="B26" r:id="rId50" display="57" xr:uid="{71BC9E78-C751-4627-9CC5-4B8E481C8709}"/>
    <hyperlink ref="A27" r:id="rId51" xr:uid="{3062DA36-BE4A-42F7-B92F-1F709A802D97}"/>
    <hyperlink ref="B27" r:id="rId52" display="52" xr:uid="{058436D1-89E2-4FB2-BD0F-500033383373}"/>
    <hyperlink ref="A28" r:id="rId53" xr:uid="{9BAE232D-E866-44A8-925F-10A46D5E445B}"/>
    <hyperlink ref="B28" r:id="rId54" display="53" xr:uid="{D293C061-239D-4614-8767-79870C0FDACD}"/>
    <hyperlink ref="A29" r:id="rId55" xr:uid="{95865B9A-CD9E-4ED6-AF91-17844D05E057}"/>
    <hyperlink ref="B29" r:id="rId56" display="48" xr:uid="{A0C8F123-9C63-4193-8278-A692B055CD56}"/>
    <hyperlink ref="A30" r:id="rId57" xr:uid="{3E7821F5-D807-41BC-B5FB-61359D2CDDF6}"/>
    <hyperlink ref="B30" r:id="rId58" display="60" xr:uid="{60334014-E638-4D60-A1DD-69AFE041AD9B}"/>
    <hyperlink ref="A31" r:id="rId59" xr:uid="{28D9E982-E0F6-4B69-90D2-D6C6E6DDCE8D}"/>
    <hyperlink ref="B31" r:id="rId60" display="50" xr:uid="{E7A5A0E7-6F19-4047-90DD-B514EF852261}"/>
    <hyperlink ref="A32" r:id="rId61" xr:uid="{249F8386-6856-4E4D-890D-9B7CFC6D7702}"/>
    <hyperlink ref="B32" r:id="rId62" display="53" xr:uid="{33F9914A-65ED-4F50-8CD6-688D268F02A8}"/>
    <hyperlink ref="A33" r:id="rId63" xr:uid="{2DF60EEA-62BC-4A09-8A3C-CAF1782755B4}"/>
    <hyperlink ref="B33" r:id="rId64" display="57" xr:uid="{9E579668-3FC3-4B26-9BBD-D3D78150520D}"/>
    <hyperlink ref="A34" r:id="rId65" xr:uid="{F4144CE9-D501-44EB-962E-0C82B8E05D3E}"/>
    <hyperlink ref="B34" r:id="rId66" display="57" xr:uid="{0BCBAE30-F058-41E0-99F7-A942864D062A}"/>
    <hyperlink ref="A35" r:id="rId67" xr:uid="{3F90AD0F-BF1E-4080-B630-3FCB9F11657E}"/>
    <hyperlink ref="B35" r:id="rId68" display="35" xr:uid="{8F1B7181-86A9-4B7D-B95D-23EDF1AF01D7}"/>
    <hyperlink ref="A36" r:id="rId69" xr:uid="{ED048768-D374-4F1E-9959-9896ADADE653}"/>
    <hyperlink ref="B36" r:id="rId70" display="42" xr:uid="{91DBD6D1-C2EF-484B-89D6-1AE1DC94C3CC}"/>
    <hyperlink ref="A37" r:id="rId71" xr:uid="{C5AA4FDE-D0EA-4136-9F54-F830CADD32A6}"/>
    <hyperlink ref="B37" r:id="rId72" display="52" xr:uid="{00E95001-CC63-4976-8A08-4CF028374ACE}"/>
    <hyperlink ref="A38" r:id="rId73" xr:uid="{5C6C73DF-49BB-4C73-B515-33864DDF2694}"/>
    <hyperlink ref="B38" r:id="rId74" display="40" xr:uid="{2864C465-05D3-4980-A45A-048B115AE40A}"/>
    <hyperlink ref="A39" r:id="rId75" xr:uid="{7065058E-5F7A-4D95-BEA0-87265EE3138B}"/>
    <hyperlink ref="B39" r:id="rId76" display="25" xr:uid="{3C6D2FC6-8446-4EF0-A0A6-8003AA78EE6B}"/>
    <hyperlink ref="A40" r:id="rId77" xr:uid="{706403AF-D1BE-4B63-AF49-6BB6060FE267}"/>
    <hyperlink ref="B40" r:id="rId78" display="50" xr:uid="{3271B2CA-5E7A-4A52-9A2A-26576E74AD52}"/>
    <hyperlink ref="A41" r:id="rId79" xr:uid="{E5B450D0-613B-4389-8F0B-49E3027C77D7}"/>
    <hyperlink ref="B41" r:id="rId80" display="45" xr:uid="{64F45768-89FF-48E0-8CF3-4AB6CD72B947}"/>
    <hyperlink ref="A42" r:id="rId81" xr:uid="{85B3B866-C562-4D5E-A95D-585B2982B00A}"/>
    <hyperlink ref="B42" r:id="rId82" display="16" xr:uid="{1BC981CE-D354-4624-882A-BC6F01880040}"/>
    <hyperlink ref="A43" r:id="rId83" xr:uid="{24A4A292-164D-4AA5-8C1F-D5C3620FD46D}"/>
    <hyperlink ref="B43" r:id="rId84" display="44" xr:uid="{03C5E317-270C-4100-9A29-DD7A12651CB0}"/>
    <hyperlink ref="A44" r:id="rId85" xr:uid="{4516FE78-4728-4A5E-9ECD-7C6028980709}"/>
    <hyperlink ref="B44" r:id="rId86" display="37" xr:uid="{AAF00C99-8D04-47A9-86CD-D0DD06F0362B}"/>
    <hyperlink ref="A45" r:id="rId87" xr:uid="{023635FE-7D6A-4CD0-969A-5697A5CD6B7B}"/>
    <hyperlink ref="B45" r:id="rId88" display="40" xr:uid="{AED3E9E1-6990-4BB9-9E19-41F39BC3E13F}"/>
    <hyperlink ref="A46" r:id="rId89" xr:uid="{158F16E9-50A0-4161-B78B-C73FCA884C74}"/>
    <hyperlink ref="B46" r:id="rId90" display="47" xr:uid="{AF69960C-EFA1-43AE-B61D-1C7F38791D12}"/>
    <hyperlink ref="A47" r:id="rId91" xr:uid="{4B322641-0D8C-42DB-86CE-87BE4CD7D01C}"/>
    <hyperlink ref="B47" r:id="rId92" display="42" xr:uid="{9B4C07C3-9445-42C9-85E2-59F007596DAA}"/>
    <hyperlink ref="A48" r:id="rId93" xr:uid="{F68AE661-3189-455F-8829-7FDEFDEC8224}"/>
    <hyperlink ref="B48" r:id="rId94" display="25" xr:uid="{DCC98253-F582-40CC-B47B-4EEA3A25551D}"/>
    <hyperlink ref="A49" r:id="rId95" xr:uid="{4C297BCC-1142-4944-9553-F15A0589887A}"/>
    <hyperlink ref="B49" r:id="rId96" display="25" xr:uid="{36E44C5F-26C4-4A8F-9604-E16454E8F394}"/>
    <hyperlink ref="A50" r:id="rId97" xr:uid="{A5BA10D8-8DA5-4FD8-9FF5-0A3E3F09D7D3}"/>
    <hyperlink ref="B50" r:id="rId98" display="48" xr:uid="{938AFD9C-2BBF-4BF1-978D-1CD6EEB25C2B}"/>
    <hyperlink ref="A51" r:id="rId99" xr:uid="{65017D66-F674-4BDE-8295-4D7B7D964DEB}"/>
    <hyperlink ref="B51" r:id="rId100" display="25" xr:uid="{4C26AF1E-4A25-43B9-96B3-D9960DA04770}"/>
    <hyperlink ref="A52" r:id="rId101" xr:uid="{ECA858BB-1FD3-4C8B-BB3F-C439501C0859}"/>
    <hyperlink ref="B52" r:id="rId102" display="49" xr:uid="{7A2B4F18-9631-4AB6-85D1-F440FF4339B5}"/>
    <hyperlink ref="A53" r:id="rId103" xr:uid="{880410A8-53DD-4FCF-842F-F90C76D081D3}"/>
    <hyperlink ref="B53" r:id="rId104" display="54" xr:uid="{878C54A6-83FD-4086-9D4C-7B91A3DA06FF}"/>
    <hyperlink ref="A54" r:id="rId105" xr:uid="{88694943-081F-4DE2-ABE5-69EA6AD36739}"/>
    <hyperlink ref="B54" r:id="rId106" display="44" xr:uid="{CEBD3E42-894F-44BB-B4E4-5BAE2162AA46}"/>
    <hyperlink ref="A55" r:id="rId107" xr:uid="{DD55D6A6-BD5B-431D-A0E7-B5A7A01AADE9}"/>
    <hyperlink ref="B55" r:id="rId108" display="30" xr:uid="{4D94E153-7964-431C-9DD0-C6517868CE96}"/>
    <hyperlink ref="A56" r:id="rId109" xr:uid="{FA1843AE-B734-47EB-8C63-DD6437D7AFBD}"/>
    <hyperlink ref="B56" r:id="rId110" display="16" xr:uid="{ECA47C24-056D-44ED-8303-A427C649AF29}"/>
    <hyperlink ref="A57" r:id="rId111" xr:uid="{677D71FC-7167-438B-9696-9C7428989500}"/>
    <hyperlink ref="B57" r:id="rId112" display="37" xr:uid="{A66A298C-87CA-445F-BC2F-7CA74EB80307}"/>
    <hyperlink ref="A58" r:id="rId113" xr:uid="{8D291377-4EE5-4E2B-BD43-E6CD41A2FFEA}"/>
    <hyperlink ref="B58" r:id="rId114" display="31" xr:uid="{F5CC1BB6-D7AC-43EC-806B-4B2EB32384D3}"/>
    <hyperlink ref="A59" r:id="rId115" xr:uid="{74FECBE9-7625-461A-97A6-95274D5D3B54}"/>
    <hyperlink ref="B59" r:id="rId116" display="50" xr:uid="{3E04E22E-080E-4E1E-9255-5DB4527161F7}"/>
    <hyperlink ref="A60" r:id="rId117" xr:uid="{2968D27C-B8CB-4A09-8B0A-8B903D3F4B80}"/>
    <hyperlink ref="B60" r:id="rId118" display="48" xr:uid="{1EFB6856-4E66-4103-B683-B93764884176}"/>
    <hyperlink ref="A61" r:id="rId119" xr:uid="{2FDA9AA2-5BAE-4E53-AF80-A41EBE794412}"/>
    <hyperlink ref="B61" r:id="rId120" display="16" xr:uid="{58EF299E-DC9C-4E8F-B89F-8AC670D66191}"/>
    <hyperlink ref="A62" r:id="rId121" xr:uid="{302D30C0-A69E-4BFD-A8F6-6C53727AD41C}"/>
    <hyperlink ref="B62" r:id="rId122" display="41" xr:uid="{63E4EEF4-FE7C-4299-8FA2-1E4B5D08EE39}"/>
    <hyperlink ref="A63" r:id="rId123" xr:uid="{CB638AEC-B48E-45FD-B0CC-A6034483B8A5}"/>
    <hyperlink ref="B63" r:id="rId124" display="36" xr:uid="{E01B897E-8C28-48F0-8B70-8F9BE932AD3C}"/>
    <hyperlink ref="A64" r:id="rId125" xr:uid="{DF077B63-D8DF-459C-B85E-66A14A93EE3F}"/>
    <hyperlink ref="B64" r:id="rId126" display="29" xr:uid="{42BC8BC6-3053-4FB2-ABE9-FE8F88FD5372}"/>
    <hyperlink ref="A65" r:id="rId127" xr:uid="{0A081AB9-97D9-4D3D-BAD4-F2F49AB040CB}"/>
    <hyperlink ref="B65" r:id="rId128" display="25" xr:uid="{AEFC233C-6CD8-4BB9-993A-E9705ABE61BC}"/>
    <hyperlink ref="A66" r:id="rId129" xr:uid="{25DC2E1A-6515-40AF-8239-DE5045B76069}"/>
    <hyperlink ref="B66" r:id="rId130" display="43" xr:uid="{364A39F4-BA89-40CA-9136-AA630DF5AC61}"/>
    <hyperlink ref="A67" r:id="rId131" xr:uid="{5DB9DD08-9601-4528-AB38-CB951D3B7A96}"/>
    <hyperlink ref="B67" r:id="rId132" display="52" xr:uid="{1DA433E5-8501-45E0-B2C6-B568029B6B7F}"/>
    <hyperlink ref="A68" r:id="rId133" xr:uid="{7BCC787D-AA2E-459E-9F8B-B412A6994C81}"/>
    <hyperlink ref="B68" r:id="rId134" display="42" xr:uid="{77B7FFCF-F335-4E76-A773-2497A9DAD619}"/>
    <hyperlink ref="A69" r:id="rId135" xr:uid="{A2094320-2312-4E2A-9B17-831599E59058}"/>
    <hyperlink ref="B69" r:id="rId136" display="44" xr:uid="{6E2216A2-74DE-4FCF-9A9E-8F643A0B75DC}"/>
    <hyperlink ref="A70" r:id="rId137" xr:uid="{B1059342-91D8-451A-880C-7E3AF5D0110C}"/>
    <hyperlink ref="B70" r:id="rId138" display="36" xr:uid="{B6C5AC41-0A54-4C21-A9FB-13C6E3C58E2C}"/>
    <hyperlink ref="A71" r:id="rId139" xr:uid="{B92F1A61-9EC0-43F3-9C8F-BBD1802A4FDA}"/>
    <hyperlink ref="B71" r:id="rId140" display="34" xr:uid="{2F2A4C12-7636-4144-A491-BE8E6DB02491}"/>
    <hyperlink ref="A72" r:id="rId141" xr:uid="{419DD45D-E37A-499C-8300-19E3C358A912}"/>
    <hyperlink ref="B72" r:id="rId142" display="43" xr:uid="{3CE9EC6C-A6E0-4503-84F8-2E2ED8759A18}"/>
    <hyperlink ref="A73" r:id="rId143" xr:uid="{8F47B302-49C6-4CA6-91A7-413A602F0F70}"/>
    <hyperlink ref="B73" r:id="rId144" display="34" xr:uid="{844B2106-5158-416C-8A26-146E986A0FAC}"/>
    <hyperlink ref="A74" r:id="rId145" xr:uid="{081848B7-4F9C-4633-9123-5A02F9CF23FA}"/>
    <hyperlink ref="B74" r:id="rId146" display="31" xr:uid="{B2A04E2B-9E9D-416E-AA6D-68B320CAEE2C}"/>
    <hyperlink ref="A75" r:id="rId147" xr:uid="{0DF3F854-B7AD-4029-A07F-F7D39488C626}"/>
    <hyperlink ref="B75" r:id="rId148" display="16" xr:uid="{3FA79D4A-DD88-40FC-B592-1E2842652CD4}"/>
    <hyperlink ref="A76" r:id="rId149" xr:uid="{D9E723CD-FEBD-4333-85B8-82EDDB3F7108}"/>
    <hyperlink ref="B76" r:id="rId150" display="12" xr:uid="{7059B404-C53C-41B2-B95A-A4C6D3FE2F3C}"/>
    <hyperlink ref="A77" r:id="rId151" xr:uid="{AD53FA3F-DCE8-4E30-A7C3-D2C8C41EDDE8}"/>
    <hyperlink ref="B77" r:id="rId152" display="39" xr:uid="{6492EB1C-DD7B-4D75-9616-FE5D99066B8F}"/>
    <hyperlink ref="A78" r:id="rId153" xr:uid="{CAE364BE-960A-4B46-A3B1-5CEC7D69D733}"/>
    <hyperlink ref="B78" r:id="rId154" display="34" xr:uid="{FF152461-2261-4C70-A796-35F337ED6D45}"/>
    <hyperlink ref="A79" r:id="rId155" xr:uid="{DCDC03D3-15ED-4BAA-ABCD-74E919BDB734}"/>
    <hyperlink ref="B79" r:id="rId156" display="35" xr:uid="{ECEF75E8-6828-467E-B808-6D423C7B90CC}"/>
    <hyperlink ref="A80" r:id="rId157" xr:uid="{0E9AB61A-1D79-43DB-8288-95049B60F03F}"/>
    <hyperlink ref="B80" r:id="rId158" display="32" xr:uid="{FDD1A411-D5D8-4A77-B696-FA7D8472BBF2}"/>
    <hyperlink ref="A81" r:id="rId159" xr:uid="{E685E8DE-F392-47D8-ABDC-97167DE8729C}"/>
    <hyperlink ref="B81" r:id="rId160" display="42" xr:uid="{8727B276-8CBA-4637-BCDE-6905C8CC881A}"/>
    <hyperlink ref="A82" r:id="rId161" xr:uid="{C49D100D-81A1-4BE0-B2AF-B03611BA11C9}"/>
    <hyperlink ref="B82" r:id="rId162" display="34" xr:uid="{3AF0F4B5-82A7-411D-A9A7-58D5591E26A5}"/>
    <hyperlink ref="A83" r:id="rId163" xr:uid="{F31C4B82-1D5B-4735-8CC6-60F71590C14F}"/>
    <hyperlink ref="B83" r:id="rId164" display="10" xr:uid="{031D99E6-BC70-4C12-A762-B66BC3194C9C}"/>
    <hyperlink ref="A84" r:id="rId165" xr:uid="{D9C0DA26-D5A6-4F79-97CB-3233DE80A538}"/>
    <hyperlink ref="B84" r:id="rId166" display="23" xr:uid="{E2956081-D143-42F8-96D2-090B7BFBBFFC}"/>
    <hyperlink ref="A85" r:id="rId167" xr:uid="{63C332B4-BB42-4F53-A252-9B5FF405CB0A}"/>
    <hyperlink ref="B85" r:id="rId168" display="10" xr:uid="{77676184-D4EC-4BC9-AF16-921F32539C6E}"/>
    <hyperlink ref="A86" r:id="rId169" xr:uid="{7C826128-EE52-4FF5-91B0-D45F271795FF}"/>
    <hyperlink ref="B86" r:id="rId170" display="31" xr:uid="{5C0446A7-074C-4E53-8A62-3EB184751992}"/>
    <hyperlink ref="A87" r:id="rId171" xr:uid="{FFC452C7-D8FE-4BD2-A2C1-8B96C22B97A9}"/>
    <hyperlink ref="B87" r:id="rId172" display="32" xr:uid="{D8BC2B79-DA98-407B-973F-3E0F723C9B61}"/>
    <hyperlink ref="A88" r:id="rId173" xr:uid="{B8D89434-0EEF-4D76-90D9-A0BDDAAC491A}"/>
    <hyperlink ref="B88" r:id="rId174" display="39" xr:uid="{5E28D352-D39B-4DC8-8E1B-D1586F17455E}"/>
    <hyperlink ref="A89" r:id="rId175" xr:uid="{D956293B-3ED6-49C1-B87C-D952AEFC5AC7}"/>
    <hyperlink ref="B89" r:id="rId176" display="31" xr:uid="{A8E56C6D-F6C7-45F2-A874-07FFF1DB3129}"/>
    <hyperlink ref="A90" r:id="rId177" xr:uid="{538D828F-0008-44B0-B417-9F95B9AD6986}"/>
    <hyperlink ref="B90" r:id="rId178" display="31" xr:uid="{FD0117AF-7234-4D3B-AEE8-A8893A64AC45}"/>
    <hyperlink ref="A91" r:id="rId179" xr:uid="{493B4D21-F110-4F6A-960B-8C9527B827D7}"/>
    <hyperlink ref="B91" r:id="rId180" display="21" xr:uid="{560E37EF-9B49-4ECF-B9A2-E5C69CA6FE3B}"/>
    <hyperlink ref="A92" r:id="rId181" xr:uid="{64775B59-CA0E-4D24-A77C-679EF0526B5B}"/>
    <hyperlink ref="B92" r:id="rId182" display="27" xr:uid="{F31E945C-5759-4531-AB82-2F6AC66D25D1}"/>
    <hyperlink ref="A93" r:id="rId183" xr:uid="{D2E594C3-DC60-441C-AA5A-7476FF691B65}"/>
    <hyperlink ref="B93" r:id="rId184" display="28" xr:uid="{68AFD908-40E7-4F26-8AEE-182E2E54FF85}"/>
    <hyperlink ref="A94" r:id="rId185" xr:uid="{AA89FDAA-C592-45D1-86F7-48010AA47867}"/>
    <hyperlink ref="B94" r:id="rId186" display="29" xr:uid="{C6C55F82-7851-4C74-9E74-BD9A75B49B06}"/>
    <hyperlink ref="A95" r:id="rId187" xr:uid="{6C5C5F52-D648-4AC1-AD60-70580A8C59DE}"/>
    <hyperlink ref="B95" r:id="rId188" display="17" xr:uid="{BDC961F9-B7B1-4574-908D-8F36126D67AD}"/>
    <hyperlink ref="A96" r:id="rId189" xr:uid="{81C15CD4-1E34-48BC-A71B-736A082DDA58}"/>
    <hyperlink ref="B96" r:id="rId190" display="14" xr:uid="{BB303148-1A1A-49D5-B9D4-26AE3E436EFB}"/>
    <hyperlink ref="A97" r:id="rId191" xr:uid="{6B4CD713-B53A-4AAE-AB07-9A4A07A03A44}"/>
    <hyperlink ref="B97" r:id="rId192" display="3" xr:uid="{66C90EBA-4F5D-4341-9898-2B02E0B0DF4E}"/>
    <hyperlink ref="A98" r:id="rId193" xr:uid="{410B4895-B228-4550-B1F5-232B6385F0D4}"/>
    <hyperlink ref="B98" r:id="rId194" display="21" xr:uid="{606D67DC-2563-4048-B23B-5E42C943F128}"/>
    <hyperlink ref="A99" r:id="rId195" xr:uid="{9BCFB774-FF1F-48B1-949D-8DCC1C6EB6FA}"/>
    <hyperlink ref="B99" r:id="rId196" display="17" xr:uid="{567CDA82-0AD6-4719-A89A-75CBE9EFEE8B}"/>
    <hyperlink ref="A100" r:id="rId197" xr:uid="{B2C4D439-95E4-4E4B-B27F-48E328189F51}"/>
    <hyperlink ref="B100" r:id="rId198" display="39" xr:uid="{BD1444C5-32D7-4500-8C90-795DA6C4A655}"/>
    <hyperlink ref="A101" r:id="rId199" xr:uid="{847C4206-B818-49FC-B81C-92A32164B690}"/>
    <hyperlink ref="B101" r:id="rId200" display="18" xr:uid="{1C11C043-D7A7-4AB5-8C11-3FD9E928B3F5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C55A9-91B1-41E3-AD0D-33B658467E61}">
  <sheetPr codeName="Sheet7"/>
  <dimension ref="A1:A2"/>
  <sheetViews>
    <sheetView workbookViewId="0"/>
  </sheetViews>
  <sheetFormatPr defaultRowHeight="15" x14ac:dyDescent="0.25"/>
  <sheetData>
    <row r="1" spans="1:1" x14ac:dyDescent="0.25">
      <c r="A1" t="s">
        <v>170</v>
      </c>
    </row>
    <row r="2" spans="1:1" x14ac:dyDescent="0.25">
      <c r="A2" s="41" t="s">
        <v>171</v>
      </c>
    </row>
  </sheetData>
  <hyperlinks>
    <hyperlink ref="A2" r:id="rId1" xr:uid="{06BF93CA-7FBE-4702-9AC1-E55165A7A389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563D4-3876-4054-9017-E16AC9B77900}">
  <sheetPr codeName="Sheet5"/>
  <dimension ref="A3:J25"/>
  <sheetViews>
    <sheetView workbookViewId="0"/>
  </sheetViews>
  <sheetFormatPr defaultRowHeight="15" x14ac:dyDescent="0.25"/>
  <sheetData>
    <row r="3" spans="1:9" x14ac:dyDescent="0.25">
      <c r="A3" s="46" t="s">
        <v>438</v>
      </c>
      <c r="B3" s="46"/>
      <c r="C3" s="46"/>
      <c r="D3" s="46"/>
      <c r="E3" s="46"/>
      <c r="F3" s="46"/>
      <c r="G3" s="46"/>
      <c r="H3" s="46"/>
      <c r="I3" s="46"/>
    </row>
    <row r="4" spans="1:9" ht="15.75" thickBot="1" x14ac:dyDescent="0.3">
      <c r="A4" s="46"/>
      <c r="B4" s="46"/>
      <c r="C4" s="46"/>
      <c r="D4" s="46"/>
      <c r="E4" s="46"/>
      <c r="F4" s="46"/>
      <c r="G4" s="46"/>
      <c r="H4" s="46"/>
      <c r="I4" s="46"/>
    </row>
    <row r="5" spans="1:9" x14ac:dyDescent="0.25">
      <c r="A5" s="47" t="s">
        <v>439</v>
      </c>
      <c r="B5" s="48"/>
      <c r="C5" s="46"/>
      <c r="D5" s="46"/>
      <c r="E5" s="46"/>
      <c r="F5" s="46"/>
      <c r="G5" s="46"/>
      <c r="H5" s="46"/>
      <c r="I5" s="46"/>
    </row>
    <row r="6" spans="1:9" x14ac:dyDescent="0.25">
      <c r="A6" s="46" t="s">
        <v>440</v>
      </c>
      <c r="B6" s="46">
        <v>0.74995500000000004</v>
      </c>
      <c r="C6" s="46"/>
      <c r="D6" s="46"/>
      <c r="E6" s="46"/>
      <c r="F6" s="46"/>
      <c r="G6" s="46"/>
      <c r="H6" s="46"/>
      <c r="I6" s="46"/>
    </row>
    <row r="7" spans="1:9" x14ac:dyDescent="0.25">
      <c r="A7" s="46" t="s">
        <v>441</v>
      </c>
      <c r="B7" s="46">
        <v>0.56243200000000004</v>
      </c>
      <c r="C7" s="46"/>
      <c r="D7" s="46"/>
      <c r="E7" s="46"/>
      <c r="F7" s="46"/>
      <c r="G7" s="46"/>
      <c r="H7" s="46"/>
      <c r="I7" s="46"/>
    </row>
    <row r="8" spans="1:9" x14ac:dyDescent="0.25">
      <c r="A8" s="46" t="s">
        <v>442</v>
      </c>
      <c r="B8" s="46">
        <v>0.54400899999999996</v>
      </c>
      <c r="C8" s="46"/>
      <c r="D8" s="46"/>
      <c r="E8" s="46"/>
      <c r="F8" s="46"/>
      <c r="G8" s="46"/>
      <c r="H8" s="46"/>
      <c r="I8" s="46"/>
    </row>
    <row r="9" spans="1:9" x14ac:dyDescent="0.25">
      <c r="A9" s="46" t="s">
        <v>443</v>
      </c>
      <c r="B9" s="46">
        <v>8.9051000000000005E-2</v>
      </c>
      <c r="C9" s="46"/>
      <c r="D9" s="46"/>
      <c r="E9" s="46"/>
      <c r="F9" s="46"/>
      <c r="G9" s="46"/>
      <c r="H9" s="46"/>
      <c r="I9" s="46"/>
    </row>
    <row r="10" spans="1:9" ht="15.75" thickBot="1" x14ac:dyDescent="0.3">
      <c r="A10" s="49" t="s">
        <v>444</v>
      </c>
      <c r="B10" s="49">
        <v>100</v>
      </c>
      <c r="C10" s="46"/>
      <c r="D10" s="46"/>
      <c r="E10" s="46"/>
      <c r="F10" s="46"/>
      <c r="G10" s="46"/>
      <c r="H10" s="46"/>
      <c r="I10" s="46"/>
    </row>
    <row r="11" spans="1:9" x14ac:dyDescent="0.25">
      <c r="A11" s="46"/>
      <c r="B11" s="46"/>
      <c r="C11" s="46"/>
      <c r="D11" s="46"/>
      <c r="E11" s="46"/>
      <c r="F11" s="46"/>
      <c r="G11" s="46"/>
      <c r="H11" s="46"/>
      <c r="I11" s="46"/>
    </row>
    <row r="12" spans="1:9" ht="15.75" thickBot="1" x14ac:dyDescent="0.3">
      <c r="A12" s="46" t="s">
        <v>445</v>
      </c>
      <c r="B12" s="46"/>
      <c r="C12" s="46"/>
      <c r="D12" s="46"/>
      <c r="E12" s="46"/>
      <c r="F12" s="46"/>
      <c r="G12" s="46"/>
      <c r="H12" s="46"/>
      <c r="I12" s="46"/>
    </row>
    <row r="13" spans="1:9" x14ac:dyDescent="0.25">
      <c r="A13" s="47" t="s">
        <v>446</v>
      </c>
      <c r="B13" s="47" t="s">
        <v>447</v>
      </c>
      <c r="C13" s="47" t="s">
        <v>448</v>
      </c>
      <c r="D13" s="47" t="s">
        <v>449</v>
      </c>
      <c r="E13" s="47" t="s">
        <v>450</v>
      </c>
      <c r="F13" s="47" t="s">
        <v>451</v>
      </c>
      <c r="G13" s="46"/>
      <c r="H13" s="46"/>
      <c r="I13" s="46"/>
    </row>
    <row r="14" spans="1:9" x14ac:dyDescent="0.25">
      <c r="A14" s="46" t="s">
        <v>452</v>
      </c>
      <c r="B14" s="46">
        <v>4</v>
      </c>
      <c r="C14" s="46">
        <v>0.96832700000000005</v>
      </c>
      <c r="D14" s="46">
        <v>0.24208199999999999</v>
      </c>
      <c r="E14" s="46">
        <v>30.527329999999999</v>
      </c>
      <c r="F14" s="50">
        <v>2.4700000000000002E-16</v>
      </c>
      <c r="G14" s="46"/>
      <c r="H14" s="46"/>
      <c r="I14" s="46"/>
    </row>
    <row r="15" spans="1:9" x14ac:dyDescent="0.25">
      <c r="A15" s="46" t="s">
        <v>453</v>
      </c>
      <c r="B15" s="46">
        <v>95</v>
      </c>
      <c r="C15" s="46">
        <v>0.75334999999999996</v>
      </c>
      <c r="D15" s="46">
        <v>7.9299999999999995E-3</v>
      </c>
      <c r="E15" s="46"/>
      <c r="F15" s="46"/>
      <c r="G15" s="46"/>
      <c r="H15" s="46"/>
      <c r="I15" s="46"/>
    </row>
    <row r="16" spans="1:9" ht="15.75" thickBot="1" x14ac:dyDescent="0.3">
      <c r="A16" s="49" t="s">
        <v>35</v>
      </c>
      <c r="B16" s="49">
        <v>99</v>
      </c>
      <c r="C16" s="49">
        <v>1.721678</v>
      </c>
      <c r="D16" s="49" t="s">
        <v>446</v>
      </c>
      <c r="E16" s="49" t="s">
        <v>446</v>
      </c>
      <c r="F16" s="49" t="s">
        <v>446</v>
      </c>
      <c r="G16" s="46"/>
      <c r="H16" s="46"/>
      <c r="I16" s="46"/>
    </row>
    <row r="17" spans="1:10" ht="15.75" thickBot="1" x14ac:dyDescent="0.3">
      <c r="A17" s="46"/>
      <c r="B17" s="46"/>
      <c r="C17" s="46"/>
      <c r="D17" s="46"/>
      <c r="E17" s="46"/>
      <c r="F17" s="46"/>
      <c r="G17" s="46"/>
      <c r="H17" s="46"/>
      <c r="I17" s="46"/>
    </row>
    <row r="18" spans="1:10" x14ac:dyDescent="0.25">
      <c r="A18" s="47" t="s">
        <v>446</v>
      </c>
      <c r="B18" s="47" t="s">
        <v>454</v>
      </c>
      <c r="C18" s="47" t="s">
        <v>443</v>
      </c>
      <c r="D18" s="47" t="s">
        <v>455</v>
      </c>
      <c r="E18" s="47" t="s">
        <v>456</v>
      </c>
      <c r="F18" s="47" t="s">
        <v>457</v>
      </c>
      <c r="G18" s="47" t="s">
        <v>458</v>
      </c>
      <c r="H18" s="47" t="s">
        <v>459</v>
      </c>
      <c r="I18" s="47" t="s">
        <v>460</v>
      </c>
    </row>
    <row r="19" spans="1:10" x14ac:dyDescent="0.25">
      <c r="A19" s="46" t="s">
        <v>461</v>
      </c>
      <c r="B19" s="46">
        <v>-1.2599199999999999</v>
      </c>
      <c r="C19" s="46">
        <v>0.169935</v>
      </c>
      <c r="D19" s="46">
        <v>-7.4141500000000002</v>
      </c>
      <c r="E19" s="50">
        <v>5.0599999999999998E-11</v>
      </c>
      <c r="F19" s="46">
        <v>-1.5972900000000001</v>
      </c>
      <c r="G19" s="46">
        <v>-0.92256000000000005</v>
      </c>
      <c r="H19" s="46">
        <v>-1.5972900000000001</v>
      </c>
      <c r="I19" s="46">
        <v>-0.92256000000000005</v>
      </c>
      <c r="J19" t="s">
        <v>463</v>
      </c>
    </row>
    <row r="20" spans="1:10" x14ac:dyDescent="0.25">
      <c r="A20" s="46" t="s">
        <v>105</v>
      </c>
      <c r="B20" s="46">
        <v>2.906193</v>
      </c>
      <c r="C20" s="46">
        <v>0.35173500000000002</v>
      </c>
      <c r="D20" s="46">
        <v>8.2624479999999991</v>
      </c>
      <c r="E20" s="50">
        <v>8.3999999999999995E-13</v>
      </c>
      <c r="F20" s="46">
        <v>2.20791</v>
      </c>
      <c r="G20" s="46">
        <v>3.6044749999999999</v>
      </c>
      <c r="H20" s="46">
        <v>2.20791</v>
      </c>
      <c r="I20" s="46">
        <v>3.6044749999999999</v>
      </c>
      <c r="J20" s="46">
        <v>8.6999999999999994E-2</v>
      </c>
    </row>
    <row r="21" spans="1:10" x14ac:dyDescent="0.25">
      <c r="A21" s="46" t="s">
        <v>107</v>
      </c>
      <c r="B21" s="46">
        <v>-1.8092299999999999</v>
      </c>
      <c r="C21" s="46">
        <v>0.77893199999999996</v>
      </c>
      <c r="D21" s="46">
        <v>-2.3227099999999998</v>
      </c>
      <c r="E21" s="46">
        <v>2.2329000000000002E-2</v>
      </c>
      <c r="F21" s="46">
        <v>-3.35561</v>
      </c>
      <c r="G21" s="46">
        <v>-0.26285999999999998</v>
      </c>
      <c r="H21" s="46">
        <v>-3.35561</v>
      </c>
      <c r="I21" s="46">
        <v>-0.26285999999999998</v>
      </c>
      <c r="J21" s="46">
        <v>2.9000000000000001E-2</v>
      </c>
    </row>
    <row r="22" spans="1:10" x14ac:dyDescent="0.25">
      <c r="A22" s="46" t="s">
        <v>174</v>
      </c>
      <c r="B22" s="46">
        <v>0.53241499999999997</v>
      </c>
      <c r="C22" s="46">
        <v>0.273451</v>
      </c>
      <c r="D22" s="46">
        <v>1.947022</v>
      </c>
      <c r="E22" s="46">
        <v>5.4484999999999999E-2</v>
      </c>
      <c r="F22" s="46">
        <v>-1.0449999999999999E-2</v>
      </c>
      <c r="G22" s="46">
        <v>1.0752839999999999</v>
      </c>
      <c r="H22" s="46">
        <v>-1.0449999999999999E-2</v>
      </c>
      <c r="I22" s="46">
        <v>1.0752839999999999</v>
      </c>
      <c r="J22" s="46">
        <v>0.42699999999999999</v>
      </c>
    </row>
    <row r="23" spans="1:10" ht="15.75" thickBot="1" x14ac:dyDescent="0.3">
      <c r="A23" s="49" t="s">
        <v>462</v>
      </c>
      <c r="B23" s="49">
        <v>3.8771390000000001</v>
      </c>
      <c r="C23" s="49">
        <v>0.48955700000000002</v>
      </c>
      <c r="D23" s="49">
        <v>7.9196970000000002</v>
      </c>
      <c r="E23" s="51">
        <v>4.4399999999999997E-12</v>
      </c>
      <c r="F23" s="49">
        <v>2.9052470000000001</v>
      </c>
      <c r="G23" s="49">
        <v>4.8490320000000002</v>
      </c>
      <c r="H23" s="49">
        <v>2.9052470000000001</v>
      </c>
      <c r="I23" s="49">
        <v>4.8490320000000002</v>
      </c>
      <c r="J23">
        <v>0.40699999999999997</v>
      </c>
    </row>
    <row r="24" spans="1:10" x14ac:dyDescent="0.25">
      <c r="I24" t="s">
        <v>464</v>
      </c>
      <c r="J24">
        <f>(B20*J20)+(B21*J21)+(B22*J22)+(B23*J23)+B19</f>
        <v>0.74578789899999998</v>
      </c>
    </row>
    <row r="25" spans="1:10" x14ac:dyDescent="0.25">
      <c r="I25" t="s">
        <v>465</v>
      </c>
      <c r="J25" s="46">
        <v>0.86199999999999999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4232F-0EB8-4AD9-A4AD-4F675F55C958}">
  <sheetPr codeName="Sheet6"/>
  <dimension ref="A1:R24"/>
  <sheetViews>
    <sheetView workbookViewId="0"/>
  </sheetViews>
  <sheetFormatPr defaultRowHeight="15" x14ac:dyDescent="0.25"/>
  <cols>
    <col min="2" max="4" width="9.28515625" bestFit="1" customWidth="1"/>
    <col min="5" max="5" width="12.42578125" bestFit="1" customWidth="1"/>
    <col min="6" max="9" width="9.28515625" bestFit="1" customWidth="1"/>
    <col min="10" max="11" width="19.7109375" bestFit="1" customWidth="1"/>
    <col min="12" max="12" width="17.28515625" bestFit="1" customWidth="1"/>
    <col min="13" max="13" width="20.5703125" bestFit="1" customWidth="1"/>
    <col min="14" max="14" width="20.85546875" bestFit="1" customWidth="1"/>
    <col min="15" max="15" width="18" bestFit="1" customWidth="1"/>
    <col min="16" max="16" width="22.42578125" bestFit="1" customWidth="1"/>
    <col min="17" max="18" width="18.5703125" bestFit="1" customWidth="1"/>
  </cols>
  <sheetData>
    <row r="1" spans="1:18" x14ac:dyDescent="0.25">
      <c r="A1" s="46" t="s">
        <v>438</v>
      </c>
      <c r="B1" s="46"/>
      <c r="C1" s="46"/>
      <c r="D1" s="46"/>
      <c r="E1" s="46"/>
      <c r="F1" s="46"/>
      <c r="G1" s="46"/>
      <c r="H1" s="46"/>
      <c r="I1" s="46"/>
    </row>
    <row r="2" spans="1:18" ht="15.75" thickBot="1" x14ac:dyDescent="0.3">
      <c r="A2" s="46"/>
      <c r="B2" s="46"/>
      <c r="C2" s="46"/>
      <c r="D2" s="46"/>
      <c r="E2" s="46"/>
      <c r="F2" s="46"/>
      <c r="G2" s="46"/>
      <c r="H2" s="46"/>
      <c r="I2" s="46"/>
    </row>
    <row r="3" spans="1:18" x14ac:dyDescent="0.25">
      <c r="A3" s="47" t="s">
        <v>439</v>
      </c>
      <c r="B3" s="48"/>
      <c r="C3" s="46"/>
      <c r="D3" s="46"/>
      <c r="E3" s="46"/>
      <c r="F3" s="46"/>
      <c r="G3" s="46"/>
      <c r="H3" s="46"/>
      <c r="I3" s="46"/>
    </row>
    <row r="4" spans="1:18" x14ac:dyDescent="0.25">
      <c r="A4" s="46" t="s">
        <v>440</v>
      </c>
      <c r="B4" s="46">
        <v>0.81817700000000004</v>
      </c>
      <c r="C4" s="46"/>
      <c r="D4" s="46"/>
      <c r="E4" s="46"/>
      <c r="F4" s="46"/>
      <c r="G4" s="46"/>
      <c r="H4" s="46"/>
      <c r="I4" s="46"/>
    </row>
    <row r="5" spans="1:18" x14ac:dyDescent="0.25">
      <c r="A5" s="46" t="s">
        <v>441</v>
      </c>
      <c r="B5" s="46">
        <v>0.66941300000000004</v>
      </c>
      <c r="C5" s="46"/>
      <c r="D5" s="46"/>
      <c r="E5" s="46"/>
      <c r="F5" s="46"/>
      <c r="G5" s="46"/>
      <c r="H5" s="46"/>
      <c r="I5" s="46"/>
    </row>
    <row r="6" spans="1:18" x14ac:dyDescent="0.25">
      <c r="A6" s="54" t="s">
        <v>442</v>
      </c>
      <c r="B6" s="60">
        <v>0.65182899999999999</v>
      </c>
      <c r="C6" s="46"/>
      <c r="D6" s="46"/>
      <c r="E6" s="46"/>
      <c r="F6" s="46"/>
      <c r="G6" s="46"/>
      <c r="H6" s="46"/>
      <c r="I6" s="46"/>
    </row>
    <row r="7" spans="1:18" x14ac:dyDescent="0.25">
      <c r="A7" s="46" t="s">
        <v>443</v>
      </c>
      <c r="B7" s="46">
        <v>7.7812999999999993E-2</v>
      </c>
      <c r="C7" s="46"/>
      <c r="D7" s="46"/>
      <c r="E7" s="46"/>
      <c r="F7" s="46"/>
      <c r="G7" s="46"/>
      <c r="H7" s="46"/>
      <c r="I7" s="46"/>
    </row>
    <row r="8" spans="1:18" ht="15.75" thickBot="1" x14ac:dyDescent="0.3">
      <c r="A8" s="49" t="s">
        <v>444</v>
      </c>
      <c r="B8" s="55">
        <v>100</v>
      </c>
      <c r="C8" s="46"/>
      <c r="D8" s="46"/>
      <c r="E8" s="46"/>
      <c r="F8" s="46"/>
      <c r="G8" s="46"/>
      <c r="H8" s="46"/>
      <c r="I8" s="46"/>
    </row>
    <row r="9" spans="1:18" x14ac:dyDescent="0.25">
      <c r="A9" s="46"/>
      <c r="B9" s="46"/>
      <c r="C9" s="46"/>
      <c r="D9" s="46"/>
      <c r="E9" s="46"/>
      <c r="F9" s="46"/>
      <c r="G9" s="46"/>
      <c r="H9" s="46"/>
      <c r="I9" s="46"/>
    </row>
    <row r="10" spans="1:18" ht="15.75" thickBot="1" x14ac:dyDescent="0.3">
      <c r="A10" s="46" t="s">
        <v>445</v>
      </c>
      <c r="B10" s="46"/>
      <c r="C10" s="46"/>
      <c r="D10" s="46"/>
      <c r="E10" s="46"/>
      <c r="F10" s="46"/>
      <c r="G10" s="46"/>
      <c r="H10" s="46"/>
      <c r="I10" s="46"/>
    </row>
    <row r="11" spans="1:18" x14ac:dyDescent="0.25">
      <c r="A11" s="47" t="s">
        <v>446</v>
      </c>
      <c r="B11" s="47" t="s">
        <v>447</v>
      </c>
      <c r="C11" s="47" t="s">
        <v>448</v>
      </c>
      <c r="D11" s="47" t="s">
        <v>449</v>
      </c>
      <c r="E11" s="47" t="s">
        <v>450</v>
      </c>
      <c r="F11" s="47" t="s">
        <v>451</v>
      </c>
      <c r="G11" s="46"/>
      <c r="H11" s="46"/>
      <c r="I11" s="46"/>
    </row>
    <row r="12" spans="1:18" x14ac:dyDescent="0.25">
      <c r="A12" s="46" t="s">
        <v>452</v>
      </c>
      <c r="B12" s="46">
        <v>5</v>
      </c>
      <c r="C12" s="46">
        <v>1.152514</v>
      </c>
      <c r="D12" s="46">
        <v>0.23050300000000001</v>
      </c>
      <c r="E12" s="46">
        <v>38.068550000000002</v>
      </c>
      <c r="F12" s="50">
        <v>3.5700000000000003E-21</v>
      </c>
      <c r="G12" s="46"/>
      <c r="H12" s="46"/>
      <c r="I12" s="46"/>
    </row>
    <row r="13" spans="1:18" x14ac:dyDescent="0.25">
      <c r="A13" s="46" t="s">
        <v>453</v>
      </c>
      <c r="B13" s="46">
        <v>94</v>
      </c>
      <c r="C13" s="46">
        <v>0.569164</v>
      </c>
      <c r="D13" s="46">
        <v>6.0549999999999996E-3</v>
      </c>
      <c r="E13" s="46"/>
      <c r="F13" s="46"/>
      <c r="G13" s="46"/>
      <c r="H13" s="46"/>
      <c r="I13" s="46"/>
      <c r="R13" s="46"/>
    </row>
    <row r="14" spans="1:18" ht="15.75" thickBot="1" x14ac:dyDescent="0.3">
      <c r="A14" s="49" t="s">
        <v>35</v>
      </c>
      <c r="B14" s="49">
        <v>99</v>
      </c>
      <c r="C14" s="49">
        <v>1.721678</v>
      </c>
      <c r="D14" s="49" t="s">
        <v>446</v>
      </c>
      <c r="E14" s="49" t="s">
        <v>446</v>
      </c>
      <c r="F14" s="49" t="s">
        <v>446</v>
      </c>
      <c r="G14" s="46"/>
      <c r="H14" s="46"/>
      <c r="I14" s="46"/>
      <c r="R14" s="46"/>
    </row>
    <row r="15" spans="1:18" ht="15.75" thickBot="1" x14ac:dyDescent="0.3">
      <c r="A15" s="46"/>
      <c r="B15" s="46"/>
      <c r="C15" s="46"/>
      <c r="D15" s="46"/>
      <c r="E15" s="46"/>
      <c r="F15" s="46"/>
      <c r="G15" s="46"/>
      <c r="H15" s="46"/>
      <c r="I15" s="46"/>
      <c r="R15" s="46"/>
    </row>
    <row r="16" spans="1:18" x14ac:dyDescent="0.25">
      <c r="A16" s="47" t="s">
        <v>446</v>
      </c>
      <c r="B16" s="47" t="s">
        <v>454</v>
      </c>
      <c r="C16" s="47" t="s">
        <v>443</v>
      </c>
      <c r="D16" s="47" t="s">
        <v>455</v>
      </c>
      <c r="E16" s="47" t="s">
        <v>456</v>
      </c>
      <c r="F16" s="47" t="s">
        <v>457</v>
      </c>
      <c r="G16" s="47" t="s">
        <v>458</v>
      </c>
      <c r="H16" s="47" t="s">
        <v>459</v>
      </c>
      <c r="I16" s="47" t="s">
        <v>460</v>
      </c>
      <c r="R16" s="46"/>
    </row>
    <row r="17" spans="1:18" x14ac:dyDescent="0.25">
      <c r="A17" s="54" t="s">
        <v>461</v>
      </c>
      <c r="B17" s="57">
        <v>-1.1877800000000001</v>
      </c>
      <c r="C17" s="46">
        <v>0.149066</v>
      </c>
      <c r="D17" s="46">
        <v>-7.9680999999999997</v>
      </c>
      <c r="E17" s="59">
        <v>3.7200000000000003E-12</v>
      </c>
      <c r="F17" s="46">
        <v>-1.4837499999999999</v>
      </c>
      <c r="G17" s="46">
        <v>-0.89180000000000004</v>
      </c>
      <c r="H17" s="46">
        <v>-1.4837499999999999</v>
      </c>
      <c r="I17" s="46">
        <v>-0.89180000000000004</v>
      </c>
      <c r="J17" s="56" t="s">
        <v>476</v>
      </c>
      <c r="K17" s="54" t="s">
        <v>47</v>
      </c>
      <c r="L17" s="54" t="s">
        <v>48</v>
      </c>
      <c r="M17" s="54" t="s">
        <v>49</v>
      </c>
      <c r="N17" s="54" t="s">
        <v>50</v>
      </c>
      <c r="O17" s="54" t="s">
        <v>51</v>
      </c>
      <c r="P17" s="54" t="s">
        <v>52</v>
      </c>
      <c r="Q17" s="54" t="s">
        <v>53</v>
      </c>
      <c r="R17" s="54" t="s">
        <v>54</v>
      </c>
    </row>
    <row r="18" spans="1:18" x14ac:dyDescent="0.25">
      <c r="A18" s="54" t="s">
        <v>105</v>
      </c>
      <c r="B18" s="57">
        <v>2.6698580000000001</v>
      </c>
      <c r="C18" s="46">
        <v>0.31032300000000002</v>
      </c>
      <c r="D18" s="46">
        <v>8.6034769999999998</v>
      </c>
      <c r="E18" s="59">
        <v>1.7000000000000001E-13</v>
      </c>
      <c r="F18" s="46">
        <v>2.0537040000000002</v>
      </c>
      <c r="G18" s="46">
        <v>3.2860119999999999</v>
      </c>
      <c r="H18" s="46">
        <v>2.0537040000000002</v>
      </c>
      <c r="I18" s="46">
        <v>3.2860119999999999</v>
      </c>
      <c r="J18" s="54" t="s">
        <v>105</v>
      </c>
      <c r="K18" s="53">
        <f>VLOOKUP(K17,'Tennis Stats'!$A$1:$BJ$101,9,FALSE)</f>
        <v>8.6999999999999994E-2</v>
      </c>
      <c r="L18" s="53">
        <f>VLOOKUP(L17,'Tennis Stats'!$A$1:$BJ$101,9,FALSE)</f>
        <v>8.5000000000000006E-2</v>
      </c>
      <c r="M18" s="53">
        <f>VLOOKUP(M17,'Tennis Stats'!$A$1:$BJ$101,9,FALSE)</f>
        <v>5.6000000000000001E-2</v>
      </c>
      <c r="N18" s="53">
        <f>VLOOKUP(N17,'Tennis Stats'!$A$1:$BJ$101,9,FALSE)</f>
        <v>8.5999999999999993E-2</v>
      </c>
      <c r="O18" s="53">
        <f>VLOOKUP(O17,'Tennis Stats'!$A$1:$BJ$101,9,FALSE)</f>
        <v>0.1</v>
      </c>
      <c r="P18" s="53">
        <f>VLOOKUP(P17,'Tennis Stats'!$A$1:$BJ$101,9,FALSE)</f>
        <v>6.8000000000000005E-2</v>
      </c>
      <c r="Q18" s="53">
        <f>VLOOKUP(Q17,'Tennis Stats'!$A$1:$BJ$101,9,FALSE)</f>
        <v>9.0999999999999998E-2</v>
      </c>
      <c r="R18" s="53">
        <f>VLOOKUP(R17,'Tennis Stats'!$A$1:$BJ$101,9,FALSE)</f>
        <v>9.1999999999999998E-2</v>
      </c>
    </row>
    <row r="19" spans="1:18" x14ac:dyDescent="0.25">
      <c r="A19" s="54" t="s">
        <v>107</v>
      </c>
      <c r="B19" s="57">
        <v>-1.2474000000000001</v>
      </c>
      <c r="C19" s="46">
        <v>0.68822099999999997</v>
      </c>
      <c r="D19" s="46">
        <v>-1.8125</v>
      </c>
      <c r="E19" s="60">
        <v>7.3100999999999999E-2</v>
      </c>
      <c r="F19" s="46">
        <v>-2.61388</v>
      </c>
      <c r="G19" s="46">
        <v>0.119077</v>
      </c>
      <c r="H19" s="46">
        <v>-2.61388</v>
      </c>
      <c r="I19" s="46">
        <v>0.119077</v>
      </c>
      <c r="J19" s="54" t="s">
        <v>107</v>
      </c>
      <c r="K19" s="53">
        <f>VLOOKUP(K17,'Tennis Stats'!$A$1:$BJ$101,11,FALSE)</f>
        <v>2.9000000000000001E-2</v>
      </c>
      <c r="L19" s="53">
        <f>VLOOKUP(L17,'Tennis Stats'!$A$1:$BJ$101,11,FALSE)</f>
        <v>2.3E-2</v>
      </c>
      <c r="M19" s="53">
        <f>VLOOKUP(M17,'Tennis Stats'!$A$1:$BJ$101,11,FALSE)</f>
        <v>2.9000000000000001E-2</v>
      </c>
      <c r="N19" s="53">
        <f>VLOOKUP(N17,'Tennis Stats'!$A$1:$BJ$101,11,FALSE)</f>
        <v>5.7000000000000002E-2</v>
      </c>
      <c r="O19" s="53">
        <f>VLOOKUP(O17,'Tennis Stats'!$A$1:$BJ$101,11,FALSE)</f>
        <v>2.8000000000000001E-2</v>
      </c>
      <c r="P19" s="53">
        <f>VLOOKUP(P17,'Tennis Stats'!$A$1:$BJ$101,11,FALSE)</f>
        <v>0.03</v>
      </c>
      <c r="Q19" s="53">
        <f>VLOOKUP(Q17,'Tennis Stats'!$A$1:$BJ$101,11,FALSE)</f>
        <v>3.1E-2</v>
      </c>
      <c r="R19" s="53">
        <f>VLOOKUP(R17,'Tennis Stats'!$A$1:$BJ$101,11,FALSE)</f>
        <v>2.1999999999999999E-2</v>
      </c>
    </row>
    <row r="20" spans="1:18" x14ac:dyDescent="0.25">
      <c r="A20" s="54" t="s">
        <v>174</v>
      </c>
      <c r="B20" s="57">
        <v>0.44176599999999999</v>
      </c>
      <c r="C20" s="46">
        <v>0.23951</v>
      </c>
      <c r="D20" s="46">
        <v>1.84446</v>
      </c>
      <c r="E20" s="60">
        <v>6.8265999999999993E-2</v>
      </c>
      <c r="F20" s="46">
        <v>-3.3790000000000001E-2</v>
      </c>
      <c r="G20" s="46">
        <v>0.91731799999999997</v>
      </c>
      <c r="H20" s="46">
        <v>-3.3790000000000001E-2</v>
      </c>
      <c r="I20" s="46">
        <v>0.91731799999999997</v>
      </c>
      <c r="J20" s="54" t="s">
        <v>174</v>
      </c>
      <c r="K20" s="53">
        <f>VLOOKUP(K17,'Tennis Stats'!$A$1:$BJ$101,20,FALSE)</f>
        <v>0.42699999999999999</v>
      </c>
      <c r="L20" s="53">
        <f>VLOOKUP(L17,'Tennis Stats'!$A$1:$BJ$101,20,FALSE)</f>
        <v>0.40699999999999997</v>
      </c>
      <c r="M20" s="53">
        <f>VLOOKUP(M17,'Tennis Stats'!$A$1:$BJ$101,20,FALSE)</f>
        <v>0.372</v>
      </c>
      <c r="N20" s="53">
        <f>VLOOKUP(N17,'Tennis Stats'!$A$1:$BJ$101,20,FALSE)</f>
        <v>0.441</v>
      </c>
      <c r="O20" s="53">
        <f>VLOOKUP(O17,'Tennis Stats'!$A$1:$BJ$101,20,FALSE)</f>
        <v>0.373</v>
      </c>
      <c r="P20" s="53">
        <f>VLOOKUP(P17,'Tennis Stats'!$A$1:$BJ$101,20,FALSE)</f>
        <v>0.40500000000000003</v>
      </c>
      <c r="Q20" s="53">
        <f>VLOOKUP(Q17,'Tennis Stats'!$A$1:$BJ$101,20,FALSE)</f>
        <v>0.38800000000000001</v>
      </c>
      <c r="R20" s="53">
        <f>VLOOKUP(R17,'Tennis Stats'!$A$1:$BJ$101,20,FALSE)</f>
        <v>0.36199999999999999</v>
      </c>
    </row>
    <row r="21" spans="1:18" x14ac:dyDescent="0.25">
      <c r="A21" s="54" t="s">
        <v>462</v>
      </c>
      <c r="B21" s="57">
        <v>3.3804859999999999</v>
      </c>
      <c r="C21" s="46">
        <v>0.43715599999999999</v>
      </c>
      <c r="D21" s="46">
        <v>7.7329119999999998</v>
      </c>
      <c r="E21" s="59">
        <v>1.1600000000000001E-11</v>
      </c>
      <c r="F21" s="46">
        <v>2.5125030000000002</v>
      </c>
      <c r="G21" s="46">
        <v>4.2484690000000001</v>
      </c>
      <c r="H21" s="46">
        <v>2.5125030000000002</v>
      </c>
      <c r="I21" s="46">
        <v>4.2484690000000001</v>
      </c>
      <c r="J21" s="54" t="s">
        <v>462</v>
      </c>
      <c r="K21" s="53">
        <f>VLOOKUP(K17,'Tennis Stats'!$A$1:$BJ$101,36,FALSE)</f>
        <v>0.40699999999999997</v>
      </c>
      <c r="L21" s="53">
        <f>VLOOKUP(L17,'Tennis Stats'!$A$1:$BJ$101,36,FALSE)</f>
        <v>0.4</v>
      </c>
      <c r="M21" s="53">
        <f>VLOOKUP(M17,'Tennis Stats'!$A$1:$BJ$101,36,FALSE)</f>
        <v>0.41599999999999998</v>
      </c>
      <c r="N21" s="53">
        <f>VLOOKUP(N17,'Tennis Stats'!$A$1:$BJ$101,36,FALSE)</f>
        <v>0.4</v>
      </c>
      <c r="O21" s="53">
        <f>VLOOKUP(O17,'Tennis Stats'!$A$1:$BJ$101,36,FALSE)</f>
        <v>0.374</v>
      </c>
      <c r="P21" s="53">
        <f>VLOOKUP(P17,'Tennis Stats'!$A$1:$BJ$101,36,FALSE)</f>
        <v>0.379</v>
      </c>
      <c r="Q21" s="53">
        <f>VLOOKUP(Q17,'Tennis Stats'!$A$1:$BJ$101,36,FALSE)</f>
        <v>0.35299999999999998</v>
      </c>
      <c r="R21" s="53">
        <f>VLOOKUP(R17,'Tennis Stats'!$A$1:$BJ$101,36,FALSE)</f>
        <v>0.376</v>
      </c>
    </row>
    <row r="22" spans="1:18" ht="15.75" thickBot="1" x14ac:dyDescent="0.3">
      <c r="A22" s="55" t="s">
        <v>319</v>
      </c>
      <c r="B22" s="58">
        <v>0.282972</v>
      </c>
      <c r="C22" s="49">
        <v>5.1305999999999997E-2</v>
      </c>
      <c r="D22" s="49">
        <v>5.515358</v>
      </c>
      <c r="E22" s="61">
        <v>3.0499999999999999E-7</v>
      </c>
      <c r="F22" s="49">
        <v>0.18110299999999999</v>
      </c>
      <c r="G22" s="49">
        <v>0.38484200000000002</v>
      </c>
      <c r="H22" s="49">
        <v>0.18110299999999999</v>
      </c>
      <c r="I22" s="49">
        <v>0.38484200000000002</v>
      </c>
      <c r="J22" s="55" t="s">
        <v>319</v>
      </c>
      <c r="K22" s="53">
        <f>VLOOKUP(K17,'Tennis Stats'!$A$1:$BJ$101,52,FALSE)</f>
        <v>0.81799999999999995</v>
      </c>
      <c r="L22" s="53">
        <f>VLOOKUP(L17,'Tennis Stats'!$A$1:$BJ$101,52,FALSE)</f>
        <v>0.53600000000000003</v>
      </c>
      <c r="M22" s="53">
        <f>VLOOKUP(M17,'Tennis Stats'!$A$1:$BJ$101,52,FALSE)</f>
        <v>0.64300000000000002</v>
      </c>
      <c r="N22" s="53">
        <f>VLOOKUP(N17,'Tennis Stats'!$A$1:$BJ$101,52,FALSE)</f>
        <v>0.59399999999999997</v>
      </c>
      <c r="O22" s="53">
        <f>VLOOKUP(O17,'Tennis Stats'!$A$1:$BJ$101,52,FALSE)</f>
        <v>0.53300000000000003</v>
      </c>
      <c r="P22" s="53">
        <f>VLOOKUP(P17,'Tennis Stats'!$A$1:$BJ$101,52,FALSE)</f>
        <v>0.6</v>
      </c>
      <c r="Q22" s="53">
        <f>VLOOKUP(Q17,'Tennis Stats'!$A$1:$BJ$101,52,FALSE)</f>
        <v>0.60499999999999998</v>
      </c>
      <c r="R22" s="53">
        <f>VLOOKUP(R17,'Tennis Stats'!$A$1:$BJ$101,52,FALSE)</f>
        <v>0.42499999999999999</v>
      </c>
    </row>
    <row r="23" spans="1:18" x14ac:dyDescent="0.25">
      <c r="J23" s="56" t="s">
        <v>464</v>
      </c>
      <c r="K23" s="13">
        <f>($B$18*K18)+($B$19*K19)+($B$20*K20)+($B$21*K21)+($B$22*K22)+$B$17</f>
        <v>0.80428602599999977</v>
      </c>
      <c r="L23" s="13">
        <f>($B$18*L18)+($B$19*L19)+($B$20*L20)+($B$21*L21)+($B$22*L22)+$B$17</f>
        <v>0.69413388399999998</v>
      </c>
      <c r="M23" s="13">
        <f>($B$18*M18)+($B$19*M19)+($B$20*M20)+($B$21*M21)+($B$22*M22)+$B$17</f>
        <v>0.67812757199999996</v>
      </c>
      <c r="N23" s="13">
        <f>($B$18*N18)+($B$19*N19)+($B$20*N20)+($B$21*N21)+($B$22*N22)+$B$17</f>
        <v>0.68582456200000008</v>
      </c>
      <c r="O23" s="13">
        <f>($B$18*O18)+($B$19*O19)+($B$20*O20)+($B$21*O21)+($B$22*O22)+$B$17</f>
        <v>0.6241831579999999</v>
      </c>
      <c r="P23" s="13">
        <f>($B$18*P18)+($B$19*P19)+($B$20*P20)+($B$21*P21)+($B$22*P22)+$B$17</f>
        <v>0.58625096799999987</v>
      </c>
      <c r="Q23" s="13">
        <f>($B$18*Q18)+($B$19*Q19)+($B$20*Q20)+($B$21*Q21)+($B$22*Q22)+$B$17</f>
        <v>0.55242250399999993</v>
      </c>
      <c r="R23" s="13">
        <f>($B$18*R18)+($B$19*R19)+($B$20*R20)+($B$21*R21)+($B$22*R22)+$B$17</f>
        <v>0.58164926399999994</v>
      </c>
    </row>
    <row r="24" spans="1:18" x14ac:dyDescent="0.25">
      <c r="J24" s="56" t="s">
        <v>465</v>
      </c>
      <c r="K24" s="53">
        <f>VLOOKUP(K17,'Tennis Stats'!$A$1:$BJ$101,5,FALSE)</f>
        <v>0.86199999999999999</v>
      </c>
      <c r="L24" s="53">
        <f>VLOOKUP(L17,'Tennis Stats'!$A$1:$BJ$101,5,FALSE)</f>
        <v>0.85099999999999998</v>
      </c>
      <c r="M24" s="53">
        <f>VLOOKUP(M17,'Tennis Stats'!$A$1:$BJ$101,5,FALSE)</f>
        <v>0.78500000000000003</v>
      </c>
      <c r="N24" s="53">
        <f>VLOOKUP(N17,'Tennis Stats'!$A$1:$BJ$101,5,FALSE)</f>
        <v>0.74299999999999999</v>
      </c>
      <c r="O24" s="53">
        <f>VLOOKUP(O17,'Tennis Stats'!$A$1:$BJ$101,5,FALSE)</f>
        <v>0.73299999999999998</v>
      </c>
      <c r="P24" s="53">
        <f>VLOOKUP(P17,'Tennis Stats'!$A$1:$BJ$101,5,FALSE)</f>
        <v>0.72</v>
      </c>
      <c r="Q24" s="53">
        <f>VLOOKUP(Q17,'Tennis Stats'!$A$1:$BJ$101,5,FALSE)</f>
        <v>0.67100000000000004</v>
      </c>
      <c r="R24" s="53">
        <f>VLOOKUP(R17,'Tennis Stats'!$A$1:$BJ$101,5,FALSE)</f>
        <v>0.67600000000000005</v>
      </c>
    </row>
  </sheetData>
  <hyperlinks>
    <hyperlink ref="L17" r:id="rId1" xr:uid="{011A57F0-FD40-452B-B227-B2A90B774399}"/>
    <hyperlink ref="M17" r:id="rId2" xr:uid="{FF2D076F-79FF-4519-BE3B-88BDCAB80961}"/>
    <hyperlink ref="N17" r:id="rId3" xr:uid="{DB73C1D9-9ACB-4037-8345-FC6CB529A92F}"/>
    <hyperlink ref="O17" r:id="rId4" xr:uid="{652AE8C4-54E6-4C33-98A8-A62BB2B53328}"/>
    <hyperlink ref="P17" r:id="rId5" xr:uid="{7B3F337F-B176-4B39-8E70-9D368AD88C42}"/>
    <hyperlink ref="Q17" r:id="rId6" xr:uid="{ADA651C5-759F-4C75-89FA-E3011C8E4C98}"/>
    <hyperlink ref="R17" r:id="rId7" xr:uid="{677E6743-1452-4305-B810-043C9B53B0EF}"/>
    <hyperlink ref="K17" r:id="rId8" xr:uid="{FB5E33C5-1AEB-4593-A4D9-1DBFADEB5FF9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Win %</vt:lpstr>
      <vt:lpstr>Pool Play</vt:lpstr>
      <vt:lpstr>Tennis Stats</vt:lpstr>
      <vt:lpstr>Source</vt:lpstr>
      <vt:lpstr>1stRegression</vt:lpstr>
      <vt:lpstr>2ndRegression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Griffin Collins</dc:creator>
  <cp:lastModifiedBy>Griffin Collins</cp:lastModifiedBy>
  <dcterms:created xsi:type="dcterms:W3CDTF">2024-04-23T19:16:38Z</dcterms:created>
  <dcterms:modified xsi:type="dcterms:W3CDTF">2024-05-07T13:03:47Z</dcterms:modified>
</cp:coreProperties>
</file>